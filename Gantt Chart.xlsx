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7A86FEA3-8734-47F9-A33B-3BE8CB9B0303}"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Sheet1" sheetId="14" r:id="rId2"/>
    <sheet name="BoM" sheetId="13" r:id="rId3"/>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3" i="11" l="1"/>
  <c r="E25" i="11"/>
  <c r="D25" i="11"/>
  <c r="E19" i="11"/>
  <c r="D19" i="11"/>
  <c r="E11" i="11"/>
  <c r="D17" i="11"/>
  <c r="G7" i="11"/>
  <c r="D9" i="11" l="1"/>
  <c r="D10" i="11" l="1"/>
  <c r="E10" i="11" s="1"/>
  <c r="H5" i="11"/>
  <c r="H4" i="11" s="1"/>
  <c r="G33" i="11"/>
  <c r="G14" i="11"/>
  <c r="G8" i="11"/>
  <c r="G21" i="11" l="1"/>
  <c r="G22" i="11"/>
  <c r="G9" i="11"/>
  <c r="D15" i="11"/>
  <c r="D16" i="11" s="1"/>
  <c r="H6" i="11"/>
  <c r="D29" i="11" l="1"/>
  <c r="G28" i="11"/>
  <c r="G27" i="11"/>
  <c r="G26" i="11"/>
  <c r="G10" i="11"/>
  <c r="G23" i="11"/>
  <c r="G15" i="11"/>
  <c r="G13" i="11"/>
  <c r="D12" i="11"/>
  <c r="E12" i="11" s="1"/>
  <c r="I5" i="11"/>
  <c r="J5" i="11" s="1"/>
  <c r="K5" i="11" s="1"/>
  <c r="L5" i="11" s="1"/>
  <c r="M5" i="11" s="1"/>
  <c r="N5" i="11" s="1"/>
  <c r="O5" i="11" s="1"/>
  <c r="O4" i="11" s="1"/>
  <c r="G31" i="11" l="1"/>
  <c r="G32" i="11"/>
  <c r="E29" i="11"/>
  <c r="G16" i="11"/>
  <c r="D18" i="11"/>
  <c r="G11" i="11"/>
  <c r="G12" i="11"/>
  <c r="P5" i="11"/>
  <c r="Q5" i="11" s="1"/>
  <c r="R5" i="11" s="1"/>
  <c r="S5" i="11" s="1"/>
  <c r="T5" i="11" s="1"/>
  <c r="U5" i="11" s="1"/>
  <c r="V5" i="11" s="1"/>
  <c r="V4" i="11" s="1"/>
  <c r="I6" i="11"/>
  <c r="G24" i="11" l="1"/>
  <c r="G25" i="11"/>
  <c r="G29" i="11"/>
  <c r="G30" i="11"/>
  <c r="G17" i="11"/>
  <c r="W5" i="11"/>
  <c r="X5" i="11" s="1"/>
  <c r="Y5" i="11" s="1"/>
  <c r="Z5" i="11" s="1"/>
  <c r="AA5" i="11" s="1"/>
  <c r="AB5" i="11" s="1"/>
  <c r="AC5" i="11" s="1"/>
  <c r="AC4" i="11" s="1"/>
  <c r="J6" i="11"/>
  <c r="G18" i="11" l="1"/>
  <c r="G19" i="11"/>
  <c r="G20" i="11"/>
  <c r="AD5" i="11"/>
  <c r="AE5" i="11" s="1"/>
  <c r="AF5" i="11" s="1"/>
  <c r="AG5" i="11" s="1"/>
  <c r="AH5" i="11" s="1"/>
  <c r="AI5" i="11" s="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<sst xmlns="http://schemas.openxmlformats.org/spreadsheetml/2006/main" count="179" uniqueCount="141">
  <si>
    <t>Drone Imagery Parking Management System</t>
  </si>
  <si>
    <t>Project start:</t>
  </si>
  <si>
    <t>Members:</t>
  </si>
  <si>
    <t>Display week:</t>
  </si>
  <si>
    <t>Lance Van, Bryan Gatto, Khalid Abdallah, Oliver Si, Gabriel Fusaro</t>
  </si>
  <si>
    <t>TASK</t>
  </si>
  <si>
    <t>ASSIGNED TO</t>
  </si>
  <si>
    <t>START</t>
  </si>
  <si>
    <t>END</t>
  </si>
  <si>
    <t xml:space="preserve">Do not delete this row. This row is hidden to preserve a formula that is used to highlight the current day within the project schedule. </t>
  </si>
  <si>
    <t>1st Semester</t>
  </si>
  <si>
    <t>Define goals</t>
  </si>
  <si>
    <t>Team</t>
  </si>
  <si>
    <t>Conduct studies</t>
  </si>
  <si>
    <t>Set up future meetings</t>
  </si>
  <si>
    <t>Lance Van</t>
  </si>
  <si>
    <t>Define scope</t>
  </si>
  <si>
    <t>Prepare for first demo</t>
  </si>
  <si>
    <t>Implement Subsystems</t>
  </si>
  <si>
    <t>Implement Drone flight</t>
  </si>
  <si>
    <t>Bryan Gatto, Gabriel Fusaro</t>
  </si>
  <si>
    <t>Implement Computer Vision</t>
  </si>
  <si>
    <t>Implement Cloud system</t>
  </si>
  <si>
    <t>Oliver Si</t>
  </si>
  <si>
    <t>Implement Mobile App</t>
  </si>
  <si>
    <t>Khalid Abdallah</t>
  </si>
  <si>
    <t>Combine All subsystems</t>
  </si>
  <si>
    <t>Project Management</t>
  </si>
  <si>
    <t>Hold weekly team meetings</t>
  </si>
  <si>
    <t>Monitor progress</t>
  </si>
  <si>
    <t>Manage resources</t>
  </si>
  <si>
    <t>Provide updates / Progress reports</t>
  </si>
  <si>
    <t>Testing and validation</t>
  </si>
  <si>
    <t>Tean</t>
  </si>
  <si>
    <t>2nd Semester</t>
  </si>
  <si>
    <t>Prepare Project Poster</t>
  </si>
  <si>
    <t>Prepare final video</t>
  </si>
  <si>
    <t>Finalize documentation and code package</t>
  </si>
  <si>
    <t>Senior Showcase</t>
  </si>
  <si>
    <t>Submit final project</t>
  </si>
  <si>
    <t>2026s ENG4952 Senior Engineering Design Team requsition sheets</t>
  </si>
  <si>
    <t>Grade: A = Worthy of Shark Tank
When meeting with Perry, have a short presentation emailed in advance.</t>
  </si>
  <si>
    <t>When done put "ready" in b21</t>
  </si>
  <si>
    <t>This is an exam. Points Deducted for items: not filled in -1 or can be found cheaper= -5, items not received in a resonable time= -2.</t>
  </si>
  <si>
    <t>Students:</t>
  </si>
  <si>
    <t>Fill in the Blue areas</t>
  </si>
  <si>
    <t>Items maybe requested in the first 30days of class.</t>
  </si>
  <si>
    <t>Everything after the ? is tracking information -- REMOVE IT.</t>
  </si>
  <si>
    <t>Professors:</t>
  </si>
  <si>
    <t>Fill in the Green</t>
  </si>
  <si>
    <t>FAU can NOT reimburse you for items you purchase on your own.</t>
  </si>
  <si>
    <t>Most websites that use tracking separated with the ?
Amazon after the /ref=</t>
  </si>
  <si>
    <t>Procurement:</t>
  </si>
  <si>
    <t>All others as needed</t>
  </si>
  <si>
    <t>All items designated as "Return to FAU" must be returned upon completion of your project.</t>
  </si>
  <si>
    <t>REMOVE everything INCLUDING the =</t>
  </si>
  <si>
    <t>This is your complete budget sheet do not delete prior delivered items. List all parts.</t>
  </si>
  <si>
    <t>Verify that the link still works.</t>
  </si>
  <si>
    <t>Total Funds Available</t>
  </si>
  <si>
    <t>Availble</t>
  </si>
  <si>
    <t>Remove the tracking info from all links.</t>
  </si>
  <si>
    <t>Vendor Preference:</t>
  </si>
  <si>
    <t>Freight</t>
  </si>
  <si>
    <t>This means the items including the "/ref="</t>
  </si>
  <si>
    <t>Lab Fee per Student</t>
  </si>
  <si>
    <t>Budget</t>
  </si>
  <si>
    <t>see: Labmain for instructions</t>
  </si>
  <si>
    <t>Amazon.com</t>
  </si>
  <si>
    <t>free via Prime</t>
  </si>
  <si>
    <t>Do not use shortened URLs. tiny &amp; bitly ...</t>
  </si>
  <si>
    <t>Total Lab Fees</t>
  </si>
  <si>
    <t>Total</t>
  </si>
  <si>
    <t>If it is blue, you fill it up with data.</t>
  </si>
  <si>
    <t>Newark.com</t>
  </si>
  <si>
    <t>free</t>
  </si>
  <si>
    <t>See examples in i17 vs i18</t>
  </si>
  <si>
    <t>Team Number</t>
  </si>
  <si>
    <t>Except, blank product lines.</t>
  </si>
  <si>
    <t>Digikey.com</t>
  </si>
  <si>
    <t>Not Free!</t>
  </si>
  <si>
    <t>Project Name</t>
  </si>
  <si>
    <t>Grainger.com / McMaster.com</t>
  </si>
  <si>
    <t>Team Member Names:</t>
  </si>
  <si>
    <t>Email</t>
  </si>
  <si>
    <t>Instructions:</t>
  </si>
  <si>
    <t>https://docs.google.com/document/d/19ndtxmOEiLcHj8Pf7w-PEnRkLOI6drgPEd5QUzhhn0Y/edit?tab=t.0</t>
  </si>
  <si>
    <t/>
  </si>
  <si>
    <t>MPJA.com</t>
  </si>
  <si>
    <t>kabdallah2022@fau.edu</t>
  </si>
  <si>
    <t>Chat w Perry:</t>
  </si>
  <si>
    <t>https://docs.google.com/spreadsheets/d/195xr72tPXvjpT2Or8KzCVWsK5MENJ-U9uzdGPMKf4nI/edit?gid=2145016025#gid=2145016025</t>
  </si>
  <si>
    <t>Arrow.com</t>
  </si>
  <si>
    <t>Gabriel Fusaro</t>
  </si>
  <si>
    <t>gfusaro2022@fau.edu</t>
  </si>
  <si>
    <t xml:space="preserve">Mouser.com </t>
  </si>
  <si>
    <t>Bryan Gatto</t>
  </si>
  <si>
    <t>bgatto2024@fau.edu</t>
  </si>
  <si>
    <t>Instructions</t>
  </si>
  <si>
    <t>https://docs.google.com/document/d/19ndtxmOEiLcHj8Pf7w-PEnRkLOI6drgPEd5QUzhhn0Y/edit?usp=sharing</t>
  </si>
  <si>
    <t>wsi2023@fau.edu</t>
  </si>
  <si>
    <t>Bad</t>
  </si>
  <si>
    <t>https://www.amazon.com/Adafruit-Electret-Microphone-Amplifier-Adjustable/dp/B00K9M6S1O/ref=sr_1_5?ie=UTF8&amp;qid=1510525236&amp;sr=8-5&amp;keywords=arduino+sound+sensor</t>
  </si>
  <si>
    <t>lvan2019@fau.edu</t>
  </si>
  <si>
    <t>Good</t>
  </si>
  <si>
    <t>https://www.amazon.com/Adafruit-Electret-Microphone-Amplifier-Adjustable/dp/B00K9M6S1O</t>
  </si>
  <si>
    <t>Complete the following tasks by the End of Semester:</t>
  </si>
  <si>
    <t>Ready?</t>
  </si>
  <si>
    <t>ready</t>
  </si>
  <si>
    <t>Items Returned?</t>
  </si>
  <si>
    <t>Full Documentation Emailed to Perry at cweinthal2014@fau.edu?</t>
  </si>
  <si>
    <t>AWS &amp; OTK Billable Turned off?</t>
  </si>
  <si>
    <t>No</t>
  </si>
  <si>
    <t>Power Budget starts on line</t>
  </si>
  <si>
    <t>quanity</t>
  </si>
  <si>
    <t>Return to FAU</t>
  </si>
  <si>
    <t>Grade</t>
  </si>
  <si>
    <t>Ordered</t>
  </si>
  <si>
    <t>Here</t>
  </si>
  <si>
    <t>Received</t>
  </si>
  <si>
    <t>Expected Arrival DATE
or Received</t>
  </si>
  <si>
    <t>FAU</t>
  </si>
  <si>
    <t>Loan</t>
  </si>
  <si>
    <t>Description</t>
  </si>
  <si>
    <t>$each</t>
  </si>
  <si>
    <t>$frt / shipping (no = 0)</t>
  </si>
  <si>
    <t>$tot FAU</t>
  </si>
  <si>
    <t>$tot Team</t>
  </si>
  <si>
    <t>$tot Loaned</t>
  </si>
  <si>
    <t>$tot Project</t>
  </si>
  <si>
    <t>Sort by Vendor
Website Link.
Sanitize your links.
Remove after the ?</t>
  </si>
  <si>
    <t>EDIT ROW FOR GROUP PROJECT → clear A column</t>
  </si>
  <si>
    <t>n</t>
  </si>
  <si>
    <t>y</t>
  </si>
  <si>
    <t>2days</t>
  </si>
  <si>
    <t>Drone</t>
  </si>
  <si>
    <t>https://www.amazon.com/dp/B0FCD63NMH?</t>
  </si>
  <si>
    <t>Power Budget</t>
  </si>
  <si>
    <t>Watts</t>
  </si>
  <si>
    <t>Volts</t>
  </si>
  <si>
    <t>Amps</t>
  </si>
  <si>
    <t>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</si>
</sst>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43" formatCode="_(* #,##0.00_);_(* \(#,##0.00\);_(* &quot;-&quot;??_);_(@_)"/>
    <numFmt numFmtId="164" formatCode="m/d/yy;@"/>
    <numFmt numFmtId="165" formatCode="ddd\,\ m/d/yyyy"/>
    <numFmt numFmtId="166" formatCode="mmm\ d\,\ yyyy"/>
    <numFmt numFmtId="167" formatCode="d"/>
  </numFmts>
  <fonts count="40">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18"/>
      <color theme="9"/>
      <name val="Arial Black"/>
      <family val="2"/>
      <scheme val="major"/>
    </font>
    <font>
      <b/>
      <sz val="18"/>
      <color theme="1"/>
      <name val="Arial"/>
      <charset val="1"/>
    </font>
    <font>
      <sz val="10"/>
      <color theme="1"/>
      <name val="Arial"/>
      <charset val="1"/>
    </font>
    <font>
      <b/>
      <sz val="12"/>
      <color theme="1"/>
      <name val="Arial"/>
      <charset val="1"/>
    </font>
    <font>
      <sz val="14"/>
      <color theme="1"/>
      <name val="Arial"/>
      <charset val="1"/>
    </font>
    <font>
      <b/>
      <sz val="14"/>
      <color theme="1"/>
      <name val="Arial"/>
      <charset val="1"/>
    </font>
    <font>
      <sz val="12"/>
      <color theme="1"/>
      <name val="Arial"/>
      <charset val="1"/>
    </font>
    <font>
      <b/>
      <u/>
      <sz val="14"/>
      <color rgb="FF1155CC"/>
      <name val="Arial"/>
      <charset val="1"/>
    </font>
    <font>
      <b/>
      <sz val="11"/>
      <color theme="1"/>
      <name val="Arial"/>
      <charset val="1"/>
    </font>
    <font>
      <b/>
      <sz val="10"/>
      <color theme="1"/>
      <name val="Arial"/>
      <charset val="1"/>
    </font>
    <font>
      <b/>
      <sz val="11"/>
      <color rgb="FFFFCFC9"/>
      <name val="Arial"/>
      <charset val="1"/>
    </font>
    <font>
      <b/>
      <sz val="8"/>
      <color theme="1"/>
      <name val="Arial"/>
      <charset val="1"/>
    </font>
    <font>
      <sz val="9"/>
      <color theme="1"/>
      <name val="Arial"/>
      <charset val="1"/>
    </font>
    <font>
      <u/>
      <sz val="10"/>
      <color rgb="FF1155CC"/>
      <name val="Arial"/>
      <charset val="1"/>
    </font>
    <font>
      <u/>
      <sz val="11"/>
      <color indexed="12"/>
      <name val="Arial"/>
    </font>
  </fonts>
  <fills count="2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C9DAF8"/>
        <bgColor indexed="64"/>
      </patternFill>
    </fill>
    <fill>
      <patternFill patternType="solid">
        <fgColor rgb="FFD9EAD3"/>
        <bgColor indexed="64"/>
      </patternFill>
    </fill>
    <fill>
      <patternFill patternType="solid">
        <fgColor rgb="FFF4C7C3"/>
        <bgColor indexed="64"/>
      </patternFill>
    </fill>
    <fill>
      <patternFill patternType="solid">
        <fgColor rgb="FFFFFF00"/>
        <bgColor indexed="64"/>
      </patternFill>
    </fill>
    <fill>
      <patternFill patternType="solid">
        <fgColor rgb="FFFFD966"/>
        <bgColor indexed="64"/>
      </patternFill>
    </fill>
    <fill>
      <patternFill patternType="solid">
        <fgColor rgb="FFA4C2F4"/>
        <bgColor indexed="64"/>
      </patternFill>
    </fill>
    <fill>
      <patternFill patternType="solid">
        <fgColor rgb="FF93C47D"/>
        <bgColor indexed="64"/>
      </patternFill>
    </fill>
    <fill>
      <patternFill patternType="solid">
        <fgColor theme="4" tint="0.39997558519241921"/>
        <bgColor indexed="64"/>
      </patternFill>
    </fill>
  </fills>
  <borders count="4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000000"/>
      </bottom>
      <diagonal/>
    </border>
    <border>
      <left style="thin">
        <color rgb="FFCCCCCC"/>
      </left>
      <right style="thin">
        <color rgb="FFCCCCCC"/>
      </right>
      <top style="thin">
        <color rgb="FFCCCCCC"/>
      </top>
      <bottom style="thick">
        <color rgb="FF000000"/>
      </bottom>
      <diagonal/>
    </border>
    <border>
      <left style="thin">
        <color rgb="FFCCCCCC"/>
      </left>
      <right style="thick">
        <color rgb="FF000000"/>
      </right>
      <top style="thin">
        <color rgb="FFCCCCCC"/>
      </top>
      <bottom style="thin">
        <color rgb="FFCCCCCC"/>
      </bottom>
      <diagonal/>
    </border>
    <border>
      <left style="thin">
        <color rgb="FFCCCCCC"/>
      </left>
      <right style="thick">
        <color rgb="FF000000"/>
      </right>
      <top style="thin">
        <color rgb="FFCCCCCC"/>
      </top>
      <bottom style="thick">
        <color rgb="FF000000"/>
      </bottom>
      <diagonal/>
    </border>
    <border>
      <left style="thin">
        <color rgb="FFCCCCCC"/>
      </left>
      <right/>
      <top style="thin">
        <color rgb="FFCCCCCC"/>
      </top>
      <bottom style="thick">
        <color rgb="FF000000"/>
      </bottom>
      <diagonal/>
    </border>
    <border>
      <left style="thin">
        <color rgb="FF000000"/>
      </left>
      <right/>
      <top style="thin">
        <color rgb="FF000000"/>
      </top>
      <bottom style="thin">
        <color rgb="FF000000"/>
      </bottom>
      <diagonal/>
    </border>
    <border>
      <left style="thick">
        <color rgb="FF000000"/>
      </left>
      <right/>
      <top style="thick">
        <color rgb="FF000000"/>
      </top>
      <bottom style="thick">
        <color rgb="FF000000"/>
      </bottom>
      <diagonal/>
    </border>
  </borders>
  <cellStyleXfs count="12">
    <xf numFmtId="0" fontId="0" fillId="0" borderId="0"/>
    <xf numFmtId="0" fontId="2" fillId="0" borderId="0" applyNumberFormat="0" applyFill="0" applyBorder="0" applyAlignment="0" applyProtection="0">
      <alignment vertical="top"/>
      <protection locked="0"/>
    </xf>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7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2"/>
    <xf numFmtId="0" fontId="9" fillId="0" borderId="0" xfId="2"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0" applyFont="1" applyFill="1" applyBorder="1" applyAlignment="1">
      <alignment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1" applyFont="1" applyFill="1" applyBorder="1">
      <alignment horizontal="left" vertical="center" indent="2"/>
    </xf>
    <xf numFmtId="0" fontId="15" fillId="3" borderId="6" xfId="10" applyFont="1" applyFill="1" applyBorder="1" applyAlignment="1">
      <alignment vertical="center"/>
    </xf>
    <xf numFmtId="164" fontId="15" fillId="3" borderId="6" xfId="9" applyFont="1" applyFill="1" applyBorder="1">
      <alignment horizontal="center" vertical="center"/>
    </xf>
    <xf numFmtId="0" fontId="4" fillId="0" borderId="4" xfId="0" applyFont="1" applyBorder="1" applyAlignment="1">
      <alignment vertical="center"/>
    </xf>
    <xf numFmtId="0" fontId="15" fillId="3" borderId="7" xfId="11" applyFont="1" applyFill="1" applyBorder="1">
      <alignment horizontal="left" vertical="center" indent="2"/>
    </xf>
    <xf numFmtId="0" fontId="15" fillId="3" borderId="7" xfId="10" applyFont="1" applyFill="1" applyBorder="1" applyAlignment="1">
      <alignment vertical="center"/>
    </xf>
    <xf numFmtId="164" fontId="15" fillId="3" borderId="7" xfId="9"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0" applyFont="1" applyFill="1" applyBorder="1" applyAlignment="1">
      <alignment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1" applyFont="1" applyFill="1" applyBorder="1">
      <alignment horizontal="left" vertical="center" indent="2"/>
    </xf>
    <xf numFmtId="0" fontId="15" fillId="4" borderId="5" xfId="10" applyFont="1" applyFill="1" applyBorder="1" applyAlignment="1">
      <alignment vertical="center"/>
    </xf>
    <xf numFmtId="164" fontId="15" fillId="4" borderId="5" xfId="9" applyFont="1" applyFill="1" applyBorder="1">
      <alignment horizontal="center" vertical="center"/>
    </xf>
    <xf numFmtId="0" fontId="19" fillId="8" borderId="0" xfId="0" applyFont="1" applyFill="1" applyAlignment="1">
      <alignment horizontal="left" vertical="center" indent="1"/>
    </xf>
    <xf numFmtId="0" fontId="15" fillId="8" borderId="0" xfId="10" applyFont="1" applyFill="1" applyBorder="1" applyAlignment="1">
      <alignment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1" applyFont="1" applyFill="1" applyBorder="1">
      <alignment horizontal="left" vertical="center" indent="2"/>
    </xf>
    <xf numFmtId="0" fontId="15" fillId="5" borderId="8" xfId="10" applyFont="1" applyFill="1" applyBorder="1" applyAlignment="1">
      <alignment vertical="center"/>
    </xf>
    <xf numFmtId="164" fontId="15" fillId="5" borderId="8" xfId="9" applyFont="1" applyFill="1" applyBorder="1">
      <alignment horizontal="center" vertical="center"/>
    </xf>
    <xf numFmtId="0" fontId="19" fillId="9" borderId="0" xfId="0" applyFont="1" applyFill="1" applyAlignment="1">
      <alignment horizontal="left" vertical="center" indent="1"/>
    </xf>
    <xf numFmtId="0" fontId="15" fillId="9" borderId="0" xfId="10" applyFont="1" applyFill="1" applyBorder="1" applyAlignment="1">
      <alignment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1" applyFont="1" applyFill="1" applyBorder="1">
      <alignment horizontal="left" vertical="center" indent="2"/>
    </xf>
    <xf numFmtId="0" fontId="15" fillId="10" borderId="9" xfId="10" applyFont="1" applyFill="1" applyBorder="1" applyAlignment="1">
      <alignment vertical="center"/>
    </xf>
    <xf numFmtId="164" fontId="15" fillId="10" borderId="9" xfId="9" applyFont="1" applyFill="1" applyBorder="1">
      <alignment horizontal="center" vertical="center"/>
    </xf>
    <xf numFmtId="0" fontId="15" fillId="0" borderId="0" xfId="11" applyFont="1" applyBorder="1">
      <alignment horizontal="left" vertical="center" indent="2"/>
    </xf>
    <xf numFmtId="0" fontId="15" fillId="0" borderId="0" xfId="10" applyFont="1" applyBorder="1" applyAlignment="1">
      <alignment vertical="center"/>
    </xf>
    <xf numFmtId="164" fontId="15" fillId="0" borderId="0" xfId="9"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5" applyFont="1" applyAlignment="1">
      <alignment horizontal="left" vertical="center" indent="1"/>
    </xf>
    <xf numFmtId="0" fontId="22" fillId="0" borderId="0" xfId="6" applyFont="1" applyAlignment="1">
      <alignment horizontal="left" vertical="center" indent="1"/>
    </xf>
    <xf numFmtId="0" fontId="25" fillId="0" borderId="0" xfId="4" applyFont="1" applyAlignment="1">
      <alignment horizontal="left"/>
    </xf>
    <xf numFmtId="0" fontId="27" fillId="0" borderId="23" xfId="0" applyFont="1" applyBorder="1" applyAlignment="1">
      <alignment readingOrder="1"/>
    </xf>
    <xf numFmtId="0" fontId="27" fillId="0" borderId="25" xfId="0" applyFont="1" applyBorder="1" applyAlignment="1">
      <alignment readingOrder="1"/>
    </xf>
    <xf numFmtId="0" fontId="27" fillId="0" borderId="27" xfId="0" applyFont="1" applyBorder="1" applyAlignment="1">
      <alignment readingOrder="1"/>
    </xf>
    <xf numFmtId="0" fontId="27" fillId="0" borderId="31" xfId="0" applyFont="1" applyBorder="1" applyAlignment="1">
      <alignment readingOrder="1"/>
    </xf>
    <xf numFmtId="0" fontId="27" fillId="0" borderId="26" xfId="0" applyFont="1" applyBorder="1" applyAlignment="1">
      <alignment readingOrder="1"/>
    </xf>
    <xf numFmtId="0" fontId="28" fillId="0" borderId="27" xfId="0" applyFont="1" applyBorder="1" applyAlignment="1">
      <alignment readingOrder="1"/>
    </xf>
    <xf numFmtId="0" fontId="26" fillId="13" borderId="26" xfId="0" applyFont="1" applyFill="1" applyBorder="1" applyAlignment="1">
      <alignment readingOrder="1"/>
    </xf>
    <xf numFmtId="0" fontId="27" fillId="0" borderId="27" xfId="0" applyFont="1" applyBorder="1" applyAlignment="1">
      <alignment wrapText="1" readingOrder="1"/>
    </xf>
    <xf numFmtId="0" fontId="26" fillId="14" borderId="26" xfId="0" applyFont="1" applyFill="1" applyBorder="1" applyAlignment="1">
      <alignment readingOrder="1"/>
    </xf>
    <xf numFmtId="0" fontId="26" fillId="0" borderId="26" xfId="0" applyFont="1" applyBorder="1" applyAlignment="1">
      <alignment readingOrder="1"/>
    </xf>
    <xf numFmtId="0" fontId="27" fillId="0" borderId="32" xfId="0" applyFont="1" applyBorder="1" applyAlignment="1">
      <alignment readingOrder="1"/>
    </xf>
    <xf numFmtId="0" fontId="27" fillId="0" borderId="33" xfId="0" applyFont="1" applyBorder="1" applyAlignment="1">
      <alignment readingOrder="1"/>
    </xf>
    <xf numFmtId="0" fontId="31" fillId="0" borderId="34" xfId="0" applyFont="1" applyBorder="1" applyAlignment="1">
      <alignment readingOrder="1"/>
    </xf>
    <xf numFmtId="6" fontId="30" fillId="14" borderId="35" xfId="0" applyNumberFormat="1" applyFont="1" applyFill="1" applyBorder="1" applyAlignment="1">
      <alignment readingOrder="1"/>
    </xf>
    <xf numFmtId="0" fontId="31" fillId="0" borderId="35" xfId="0" applyFont="1" applyBorder="1" applyAlignment="1">
      <alignment readingOrder="1"/>
    </xf>
    <xf numFmtId="6" fontId="31" fillId="15" borderId="35" xfId="0" applyNumberFormat="1" applyFont="1" applyFill="1" applyBorder="1" applyAlignment="1">
      <alignment readingOrder="1"/>
    </xf>
    <xf numFmtId="0" fontId="30" fillId="0" borderId="35" xfId="0" applyFont="1" applyBorder="1" applyAlignment="1">
      <alignment readingOrder="1"/>
    </xf>
    <xf numFmtId="0" fontId="27" fillId="16" borderId="27" xfId="0" applyFont="1" applyFill="1" applyBorder="1" applyAlignment="1">
      <alignment readingOrder="1"/>
    </xf>
    <xf numFmtId="6" fontId="30" fillId="0" borderId="35" xfId="0" applyNumberFormat="1" applyFont="1" applyBorder="1" applyAlignment="1">
      <alignment readingOrder="1"/>
    </xf>
    <xf numFmtId="6" fontId="31" fillId="0" borderId="35" xfId="0" applyNumberFormat="1" applyFont="1" applyBorder="1" applyAlignment="1">
      <alignment readingOrder="1"/>
    </xf>
    <xf numFmtId="0" fontId="2" fillId="0" borderId="35" xfId="1" applyBorder="1" applyAlignment="1" applyProtection="1">
      <alignment readingOrder="1"/>
    </xf>
    <xf numFmtId="0" fontId="29" fillId="0" borderId="34" xfId="0" applyFont="1" applyBorder="1" applyAlignment="1">
      <alignment readingOrder="1"/>
    </xf>
    <xf numFmtId="0" fontId="29" fillId="13" borderId="35" xfId="0" applyFont="1" applyFill="1" applyBorder="1" applyAlignment="1">
      <alignment readingOrder="1"/>
    </xf>
    <xf numFmtId="0" fontId="27" fillId="13" borderId="35" xfId="0" applyFont="1" applyFill="1" applyBorder="1" applyAlignment="1">
      <alignment readingOrder="1"/>
    </xf>
    <xf numFmtId="0" fontId="32" fillId="0" borderId="35" xfId="0" applyFont="1" applyBorder="1" applyAlignment="1">
      <alignment readingOrder="1"/>
    </xf>
    <xf numFmtId="0" fontId="30" fillId="0" borderId="34" xfId="0" applyFont="1" applyBorder="1" applyAlignment="1">
      <alignment readingOrder="1"/>
    </xf>
    <xf numFmtId="0" fontId="27" fillId="0" borderId="35" xfId="0" applyFont="1" applyBorder="1" applyAlignment="1">
      <alignment readingOrder="1"/>
    </xf>
    <xf numFmtId="0" fontId="2" fillId="0" borderId="27" xfId="1" applyBorder="1" applyAlignment="1" applyProtection="1">
      <alignment readingOrder="1"/>
    </xf>
    <xf numFmtId="0" fontId="31" fillId="13" borderId="34" xfId="0" applyFont="1" applyFill="1" applyBorder="1" applyAlignment="1">
      <alignment readingOrder="1"/>
    </xf>
    <xf numFmtId="0" fontId="27" fillId="0" borderId="39" xfId="0" applyFont="1" applyBorder="1" applyAlignment="1">
      <alignment readingOrder="1"/>
    </xf>
    <xf numFmtId="0" fontId="27" fillId="0" borderId="40" xfId="0" applyFont="1" applyBorder="1" applyAlignment="1">
      <alignment readingOrder="1"/>
    </xf>
    <xf numFmtId="0" fontId="27" fillId="18" borderId="27" xfId="0" applyFont="1" applyFill="1" applyBorder="1" applyAlignment="1">
      <alignment readingOrder="1"/>
    </xf>
    <xf numFmtId="0" fontId="30" fillId="0" borderId="39" xfId="0" applyFont="1" applyBorder="1" applyAlignment="1">
      <alignment readingOrder="1"/>
    </xf>
    <xf numFmtId="0" fontId="30" fillId="0" borderId="41" xfId="0" applyFont="1" applyBorder="1" applyAlignment="1">
      <alignment readingOrder="1"/>
    </xf>
    <xf numFmtId="0" fontId="27" fillId="0" borderId="41" xfId="0" applyFont="1" applyBorder="1" applyAlignment="1">
      <alignment readingOrder="1"/>
    </xf>
    <xf numFmtId="6" fontId="30" fillId="0" borderId="41" xfId="0" applyNumberFormat="1" applyFont="1" applyBorder="1" applyAlignment="1">
      <alignment readingOrder="1"/>
    </xf>
    <xf numFmtId="0" fontId="28" fillId="0" borderId="39" xfId="0" applyFont="1" applyBorder="1" applyAlignment="1">
      <alignment wrapText="1" readingOrder="1"/>
    </xf>
    <xf numFmtId="0" fontId="28" fillId="0" borderId="41" xfId="0" applyFont="1" applyBorder="1" applyAlignment="1">
      <alignment readingOrder="1"/>
    </xf>
    <xf numFmtId="0" fontId="28" fillId="0" borderId="41" xfId="0" applyFont="1" applyBorder="1" applyAlignment="1">
      <alignment wrapText="1" readingOrder="1"/>
    </xf>
    <xf numFmtId="0" fontId="34" fillId="0" borderId="41" xfId="0" applyFont="1" applyBorder="1" applyAlignment="1">
      <alignment wrapText="1" readingOrder="1"/>
    </xf>
    <xf numFmtId="0" fontId="36" fillId="0" borderId="41" xfId="0" applyFont="1" applyBorder="1" applyAlignment="1">
      <alignment wrapText="1" readingOrder="1"/>
    </xf>
    <xf numFmtId="0" fontId="30" fillId="0" borderId="41" xfId="0" applyFont="1" applyBorder="1" applyAlignment="1">
      <alignment wrapText="1" readingOrder="1"/>
    </xf>
    <xf numFmtId="0" fontId="27" fillId="13" borderId="26" xfId="0" applyFont="1" applyFill="1" applyBorder="1" applyAlignment="1">
      <alignment readingOrder="1"/>
    </xf>
    <xf numFmtId="0" fontId="27" fillId="13" borderId="27" xfId="0" applyFont="1" applyFill="1" applyBorder="1" applyAlignment="1">
      <alignment readingOrder="1"/>
    </xf>
    <xf numFmtId="0" fontId="27" fillId="19" borderId="35" xfId="0" applyFont="1" applyFill="1" applyBorder="1" applyAlignment="1">
      <alignment readingOrder="1"/>
    </xf>
    <xf numFmtId="0" fontId="31" fillId="13" borderId="35" xfId="0" applyFont="1" applyFill="1" applyBorder="1" applyAlignment="1">
      <alignment readingOrder="1"/>
    </xf>
    <xf numFmtId="6" fontId="31" fillId="13" borderId="35" xfId="0" applyNumberFormat="1" applyFont="1" applyFill="1" applyBorder="1" applyAlignment="1">
      <alignment readingOrder="1"/>
    </xf>
    <xf numFmtId="8" fontId="27" fillId="0" borderId="35" xfId="0" applyNumberFormat="1" applyFont="1" applyBorder="1" applyAlignment="1">
      <alignment readingOrder="1"/>
    </xf>
    <xf numFmtId="8" fontId="37" fillId="0" borderId="35" xfId="0" applyNumberFormat="1" applyFont="1" applyBorder="1" applyAlignment="1">
      <alignment readingOrder="1"/>
    </xf>
    <xf numFmtId="0" fontId="38" fillId="13" borderId="35" xfId="0" applyFont="1" applyFill="1" applyBorder="1" applyAlignment="1">
      <alignment readingOrder="1"/>
    </xf>
    <xf numFmtId="0" fontId="38" fillId="13" borderId="33" xfId="0" applyFont="1" applyFill="1" applyBorder="1" applyAlignment="1">
      <alignment readingOrder="1"/>
    </xf>
    <xf numFmtId="0" fontId="39" fillId="0" borderId="27" xfId="1" applyFont="1" applyBorder="1" applyAlignment="1" applyProtection="1">
      <alignment readingOrder="1"/>
    </xf>
    <xf numFmtId="0" fontId="27" fillId="0" borderId="27" xfId="0" quotePrefix="1" applyFont="1" applyBorder="1" applyAlignment="1">
      <alignment readingOrder="1"/>
    </xf>
    <xf numFmtId="0" fontId="2" fillId="13" borderId="35" xfId="1" applyFill="1" applyBorder="1" applyAlignment="1" applyProtection="1">
      <alignment readingOrder="1"/>
    </xf>
    <xf numFmtId="0" fontId="26" fillId="0" borderId="22" xfId="0" applyFont="1" applyBorder="1" applyAlignment="1">
      <alignment horizontal="center" readingOrder="1"/>
    </xf>
    <xf numFmtId="0" fontId="23" fillId="0" borderId="0" xfId="0" applyFont="1" applyAlignment="1">
      <alignment horizontal="left"/>
    </xf>
    <xf numFmtId="165" fontId="23" fillId="0" borderId="0" xfId="8" applyFont="1" applyBorder="1" applyAlignment="1">
      <alignment horizontal="left"/>
    </xf>
    <xf numFmtId="0" fontId="22" fillId="0" borderId="0" xfId="7" applyFont="1" applyAlignment="1">
      <alignment horizontal="left"/>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9" fillId="0" borderId="0" xfId="2"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16" fillId="11" borderId="16" xfId="0" applyFont="1" applyFill="1" applyBorder="1" applyAlignment="1">
      <alignment horizontal="center" vertical="center"/>
    </xf>
    <xf numFmtId="0" fontId="28" fillId="0" borderId="42" xfId="0" applyFont="1" applyBorder="1" applyAlignment="1">
      <alignment readingOrder="1"/>
    </xf>
    <xf numFmtId="0" fontId="28" fillId="0" borderId="28" xfId="0" applyFont="1" applyBorder="1" applyAlignment="1">
      <alignment wrapText="1" readingOrder="1"/>
    </xf>
    <xf numFmtId="0" fontId="34" fillId="17" borderId="44" xfId="0" applyFont="1" applyFill="1" applyBorder="1" applyAlignment="1">
      <alignment readingOrder="1"/>
    </xf>
    <xf numFmtId="0" fontId="35" fillId="0" borderId="28" xfId="0" applyFont="1" applyBorder="1" applyAlignment="1">
      <alignment readingOrder="1"/>
    </xf>
    <xf numFmtId="0" fontId="35" fillId="0" borderId="29" xfId="0" applyFont="1" applyBorder="1" applyAlignment="1">
      <alignment readingOrder="1"/>
    </xf>
    <xf numFmtId="0" fontId="35" fillId="0" borderId="30" xfId="0" applyFont="1" applyBorder="1" applyAlignment="1">
      <alignment readingOrder="1"/>
    </xf>
    <xf numFmtId="0" fontId="29" fillId="13" borderId="36" xfId="0" applyFont="1" applyFill="1" applyBorder="1" applyAlignment="1">
      <alignment vertical="center" readingOrder="1"/>
    </xf>
    <xf numFmtId="0" fontId="29" fillId="13" borderId="38" xfId="0" applyFont="1" applyFill="1" applyBorder="1" applyAlignment="1">
      <alignment vertical="center" readingOrder="1"/>
    </xf>
    <xf numFmtId="0" fontId="33" fillId="17" borderId="44" xfId="0" applyFont="1" applyFill="1" applyBorder="1" applyAlignment="1">
      <alignment readingOrder="1"/>
    </xf>
    <xf numFmtId="0" fontId="30" fillId="0" borderId="43" xfId="0" applyFont="1" applyBorder="1" applyAlignment="1">
      <alignment readingOrder="1"/>
    </xf>
    <xf numFmtId="0" fontId="27" fillId="0" borderId="37" xfId="0" applyFont="1" applyBorder="1" applyAlignment="1">
      <alignment readingOrder="1"/>
    </xf>
    <xf numFmtId="0" fontId="29" fillId="13" borderId="36" xfId="0" applyFont="1" applyFill="1" applyBorder="1" applyAlignment="1">
      <alignment readingOrder="1"/>
    </xf>
    <xf numFmtId="0" fontId="2" fillId="13" borderId="36" xfId="1" applyFill="1" applyBorder="1" applyAlignment="1" applyProtection="1">
      <alignment readingOrder="1"/>
    </xf>
    <xf numFmtId="0" fontId="27" fillId="13" borderId="36" xfId="0" applyFont="1" applyFill="1" applyBorder="1" applyAlignment="1">
      <alignment readingOrder="1"/>
    </xf>
    <xf numFmtId="0" fontId="26" fillId="0" borderId="24" xfId="0" applyFont="1" applyBorder="1" applyAlignment="1">
      <alignment readingOrder="1"/>
    </xf>
    <xf numFmtId="0" fontId="26" fillId="0" borderId="28" xfId="0" applyFont="1" applyBorder="1" applyAlignment="1">
      <alignment wrapText="1" readingOrder="1"/>
    </xf>
    <xf numFmtId="0" fontId="26" fillId="13" borderId="28" xfId="0" applyFont="1" applyFill="1" applyBorder="1" applyAlignment="1">
      <alignment readingOrder="1"/>
    </xf>
    <xf numFmtId="0" fontId="29" fillId="0" borderId="28" xfId="0" applyFont="1" applyBorder="1" applyAlignment="1">
      <alignment wrapText="1" readingOrder="1"/>
    </xf>
    <xf numFmtId="0" fontId="26" fillId="14" borderId="28" xfId="0" applyFont="1" applyFill="1" applyBorder="1" applyAlignment="1">
      <alignment readingOrder="1"/>
    </xf>
    <xf numFmtId="0" fontId="29" fillId="0" borderId="28" xfId="0" applyFont="1" applyBorder="1" applyAlignment="1">
      <alignment readingOrder="1"/>
    </xf>
    <xf numFmtId="0" fontId="26" fillId="0" borderId="28" xfId="0" applyFont="1" applyBorder="1" applyAlignment="1">
      <alignment readingOrder="1"/>
    </xf>
    <xf numFmtId="0" fontId="30" fillId="0" borderId="28" xfId="0" applyFont="1" applyBorder="1" applyAlignment="1">
      <alignment readingOrder="1"/>
    </xf>
    <xf numFmtId="0" fontId="30" fillId="0" borderId="36" xfId="0" applyFont="1" applyBorder="1" applyAlignment="1">
      <alignment readingOrder="1"/>
    </xf>
    <xf numFmtId="0" fontId="4" fillId="20" borderId="4" xfId="0" applyFont="1" applyFill="1" applyBorder="1" applyAlignment="1">
      <alignment vertical="center"/>
    </xf>
    <xf numFmtId="0" fontId="4" fillId="0" borderId="0" xfId="0" applyFont="1" applyAlignment="1"/>
    <xf numFmtId="0" fontId="24" fillId="0" borderId="0" xfId="0" applyFont="1" applyAlignment="1"/>
    <xf numFmtId="0" fontId="4" fillId="2" borderId="21" xfId="0" applyFont="1" applyFill="1" applyBorder="1" applyAlignme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wsi2023@fau.edu" TargetMode="External"/><Relationship Id="rId3" Type="http://schemas.openxmlformats.org/officeDocument/2006/relationships/hyperlink" Target="https://docs.google.com/document/d/19ndtxmOEiLcHj8Pf7w-PEnRkLOI6drgPEd5QUzhhn0Y/edit?usp=sharing" TargetMode="External"/><Relationship Id="rId7" Type="http://schemas.openxmlformats.org/officeDocument/2006/relationships/hyperlink" Target="mailto:gfusaro2022@fau.edu" TargetMode="External"/><Relationship Id="rId12" Type="http://schemas.openxmlformats.org/officeDocument/2006/relationships/hyperlink" Target="https://www.amazon.com/dp/B0FCD63NMH" TargetMode="External"/><Relationship Id="rId2" Type="http://schemas.openxmlformats.org/officeDocument/2006/relationships/hyperlink" Target="https://docs.google.com/spreadsheets/d/195xr72tPXvjpT2Or8KzCVWsK5MENJ-U9uzdGPMKf4nI/edit?gid=2145016025" TargetMode="External"/><Relationship Id="rId1" Type="http://schemas.openxmlformats.org/officeDocument/2006/relationships/hyperlink" Target="https://docs.google.com/document/d/19ndtxmOEiLcHj8Pf7w-PEnRkLOI6drgPEd5QUzhhn0Y/edit?tab=t.0" TargetMode="External"/><Relationship Id="rId6" Type="http://schemas.openxmlformats.org/officeDocument/2006/relationships/hyperlink" Target="mailto:kabdallah2022@fau.edu" TargetMode="External"/><Relationship Id="rId11" Type="http://schemas.openxmlformats.org/officeDocument/2006/relationships/hyperlink" Target="http://Amazon.com" TargetMode="External"/><Relationship Id="rId5" Type="http://schemas.openxmlformats.org/officeDocument/2006/relationships/hyperlink" Target="https://www.amazon.com/Adafruit-Electret-Microphone-Amplifier-Adjustable/dp/B00K9M6S1O/ref=sr_1_5?ie=UTF8&amp;qid=1510525236&amp;sr=8-5&amp;keywords=arduino+sound+sensor" TargetMode="External"/><Relationship Id="rId10" Type="http://schemas.openxmlformats.org/officeDocument/2006/relationships/hyperlink" Target="mailto:bgatto2024@fau.edu" TargetMode="External"/><Relationship Id="rId4" Type="http://schemas.openxmlformats.org/officeDocument/2006/relationships/hyperlink" Target="https://www.amazon.com/Adafruit-Electret-Microphone-Amplifier-Adjustable/dp/B00K9M6S1O/ref=sr_1_5?ie=UTF8&amp;qid=1510525236&amp;sr=8-5&amp;keywords=arduino+sound+sensor" TargetMode="External"/><Relationship Id="rId9" Type="http://schemas.openxmlformats.org/officeDocument/2006/relationships/hyperlink" Target="mailto:lvan2019@fa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6"/>
  <sheetViews>
    <sheetView showGridLines="0" tabSelected="1" showRuler="0" topLeftCell="A3" zoomScaleNormal="100" zoomScalePageLayoutView="70" workbookViewId="0">
      <selection activeCell="E10" sqref="E10"/>
    </sheetView>
  </sheetViews>
  <sheetFormatPr defaultColWidth="8.75" defaultRowHeight="30" customHeight="1"/>
  <cols>
    <col min="1" max="1" width="2.75" style="7" customWidth="1"/>
    <col min="2" max="2" width="22.75" customWidth="1"/>
    <col min="3" max="3" width="16.75" customWidth="1"/>
    <col min="4" max="4" width="10.75" style="2" customWidth="1"/>
    <col min="5" max="5" width="10.75" customWidth="1"/>
    <col min="6" max="6" width="2.75" customWidth="1"/>
    <col min="7" max="7" width="6" hidden="1" customWidth="1"/>
    <col min="8" max="64" width="2.75" customWidth="1"/>
  </cols>
  <sheetData>
    <row r="1" spans="1:63" ht="90" customHeight="1">
      <c r="A1" s="8"/>
      <c r="B1" s="79" t="s">
        <v>0</v>
      </c>
      <c r="C1" s="12"/>
      <c r="D1" s="13"/>
      <c r="E1" s="14"/>
      <c r="G1" s="1"/>
      <c r="H1" s="137" t="s">
        <v>1</v>
      </c>
      <c r="I1" s="170"/>
      <c r="J1" s="170"/>
      <c r="K1" s="170"/>
      <c r="L1" s="170"/>
      <c r="M1" s="170"/>
      <c r="N1" s="170"/>
      <c r="O1" s="17"/>
      <c r="P1" s="136">
        <v>45925</v>
      </c>
      <c r="Q1" s="171"/>
      <c r="R1" s="171"/>
      <c r="S1" s="171"/>
      <c r="T1" s="171"/>
      <c r="U1" s="171"/>
      <c r="V1" s="171"/>
      <c r="W1" s="171"/>
      <c r="X1" s="171"/>
      <c r="Y1" s="171"/>
    </row>
    <row r="2" spans="1:63" ht="30" customHeight="1">
      <c r="B2" s="77" t="s">
        <v>2</v>
      </c>
      <c r="C2" s="78"/>
      <c r="D2" s="16"/>
      <c r="E2" s="15"/>
      <c r="H2" s="137" t="s">
        <v>3</v>
      </c>
      <c r="I2" s="170"/>
      <c r="J2" s="170"/>
      <c r="K2" s="170"/>
      <c r="L2" s="170"/>
      <c r="M2" s="170"/>
      <c r="N2" s="170"/>
      <c r="O2" s="17"/>
      <c r="P2" s="135">
        <v>2</v>
      </c>
      <c r="Q2" s="171"/>
      <c r="R2" s="171"/>
      <c r="S2" s="171"/>
      <c r="T2" s="171"/>
      <c r="U2" s="171"/>
      <c r="V2" s="171"/>
      <c r="W2" s="171"/>
      <c r="X2" s="171"/>
      <c r="Y2" s="171"/>
    </row>
    <row r="3" spans="1:63" s="19" customFormat="1" ht="30" customHeight="1">
      <c r="A3" s="7"/>
      <c r="B3" s="18" t="s">
        <v>4</v>
      </c>
      <c r="D3" s="20"/>
    </row>
    <row r="4" spans="1:63" s="19" customFormat="1" ht="30" customHeight="1">
      <c r="A4" s="8"/>
      <c r="B4" s="21"/>
      <c r="D4" s="22"/>
      <c r="H4" s="140">
        <f>H5</f>
        <v>45929</v>
      </c>
      <c r="I4" s="138"/>
      <c r="J4" s="138"/>
      <c r="K4" s="138"/>
      <c r="L4" s="138"/>
      <c r="M4" s="138"/>
      <c r="N4" s="138"/>
      <c r="O4" s="140">
        <f t="shared" ref="O4" si="0">O5</f>
        <v>45936</v>
      </c>
      <c r="P4" s="138"/>
      <c r="Q4" s="138"/>
      <c r="R4" s="138"/>
      <c r="S4" s="138"/>
      <c r="T4" s="138"/>
      <c r="U4" s="138"/>
      <c r="V4" s="140">
        <f t="shared" ref="V4" si="1">V5</f>
        <v>45943</v>
      </c>
      <c r="W4" s="138"/>
      <c r="X4" s="138"/>
      <c r="Y4" s="138"/>
      <c r="Z4" s="138"/>
      <c r="AA4" s="138"/>
      <c r="AB4" s="138"/>
      <c r="AC4" s="140">
        <f t="shared" ref="AC4" si="2">AC5</f>
        <v>45950</v>
      </c>
      <c r="AD4" s="138"/>
      <c r="AE4" s="138"/>
      <c r="AF4" s="138"/>
      <c r="AG4" s="138"/>
      <c r="AH4" s="138"/>
      <c r="AI4" s="138"/>
      <c r="AJ4" s="138">
        <f>AJ5</f>
        <v>45957</v>
      </c>
      <c r="AK4" s="138"/>
      <c r="AL4" s="138"/>
      <c r="AM4" s="138"/>
      <c r="AN4" s="138"/>
      <c r="AO4" s="138"/>
      <c r="AP4" s="138"/>
      <c r="AQ4" s="138">
        <f>AQ5</f>
        <v>45964</v>
      </c>
      <c r="AR4" s="138"/>
      <c r="AS4" s="138"/>
      <c r="AT4" s="138"/>
      <c r="AU4" s="138"/>
      <c r="AV4" s="138"/>
      <c r="AW4" s="138"/>
      <c r="AX4" s="138">
        <f>AX5</f>
        <v>45971</v>
      </c>
      <c r="AY4" s="138"/>
      <c r="AZ4" s="138"/>
      <c r="BA4" s="138"/>
      <c r="BB4" s="138"/>
      <c r="BC4" s="138"/>
      <c r="BD4" s="138"/>
      <c r="BE4" s="138">
        <f>BE5</f>
        <v>45978</v>
      </c>
      <c r="BF4" s="138"/>
      <c r="BG4" s="138"/>
      <c r="BH4" s="138"/>
      <c r="BI4" s="138"/>
      <c r="BJ4" s="138"/>
      <c r="BK4" s="139"/>
    </row>
    <row r="5" spans="1:63" s="19" customFormat="1" ht="15" customHeight="1">
      <c r="A5" s="141"/>
      <c r="B5" s="142" t="s">
        <v>5</v>
      </c>
      <c r="C5" s="144" t="s">
        <v>6</v>
      </c>
      <c r="D5" s="145" t="s">
        <v>7</v>
      </c>
      <c r="E5" s="145" t="s">
        <v>8</v>
      </c>
      <c r="H5" s="23">
        <f>Project_Start-WEEKDAY(Project_Start,1)+2+7*(Display_Week-1)</f>
        <v>45929</v>
      </c>
      <c r="I5" s="23">
        <f>H5+1</f>
        <v>45930</v>
      </c>
      <c r="J5" s="23">
        <f t="shared" ref="J5:AW5" si="3">I5+1</f>
        <v>45931</v>
      </c>
      <c r="K5" s="23">
        <f t="shared" si="3"/>
        <v>45932</v>
      </c>
      <c r="L5" s="23">
        <f t="shared" si="3"/>
        <v>45933</v>
      </c>
      <c r="M5" s="23">
        <f t="shared" si="3"/>
        <v>45934</v>
      </c>
      <c r="N5" s="24">
        <f t="shared" si="3"/>
        <v>45935</v>
      </c>
      <c r="O5" s="25">
        <f>N5+1</f>
        <v>45936</v>
      </c>
      <c r="P5" s="23">
        <f>O5+1</f>
        <v>45937</v>
      </c>
      <c r="Q5" s="23">
        <f t="shared" si="3"/>
        <v>45938</v>
      </c>
      <c r="R5" s="23">
        <f t="shared" si="3"/>
        <v>45939</v>
      </c>
      <c r="S5" s="23">
        <f t="shared" si="3"/>
        <v>45940</v>
      </c>
      <c r="T5" s="23">
        <f t="shared" si="3"/>
        <v>45941</v>
      </c>
      <c r="U5" s="24">
        <f t="shared" si="3"/>
        <v>45942</v>
      </c>
      <c r="V5" s="25">
        <f>U5+1</f>
        <v>45943</v>
      </c>
      <c r="W5" s="23">
        <f>V5+1</f>
        <v>45944</v>
      </c>
      <c r="X5" s="23">
        <f t="shared" si="3"/>
        <v>45945</v>
      </c>
      <c r="Y5" s="23">
        <f t="shared" si="3"/>
        <v>45946</v>
      </c>
      <c r="Z5" s="23">
        <f t="shared" si="3"/>
        <v>45947</v>
      </c>
      <c r="AA5" s="23">
        <f t="shared" si="3"/>
        <v>45948</v>
      </c>
      <c r="AB5" s="24">
        <f t="shared" si="3"/>
        <v>45949</v>
      </c>
      <c r="AC5" s="25">
        <f>AB5+1</f>
        <v>45950</v>
      </c>
      <c r="AD5" s="23">
        <f>AC5+1</f>
        <v>45951</v>
      </c>
      <c r="AE5" s="23">
        <f t="shared" si="3"/>
        <v>45952</v>
      </c>
      <c r="AF5" s="23">
        <f t="shared" si="3"/>
        <v>45953</v>
      </c>
      <c r="AG5" s="23">
        <f t="shared" si="3"/>
        <v>45954</v>
      </c>
      <c r="AH5" s="23">
        <f t="shared" si="3"/>
        <v>45955</v>
      </c>
      <c r="AI5" s="24">
        <f t="shared" si="3"/>
        <v>45956</v>
      </c>
      <c r="AJ5" s="25">
        <f>AI5+1</f>
        <v>45957</v>
      </c>
      <c r="AK5" s="23">
        <f>AJ5+1</f>
        <v>45958</v>
      </c>
      <c r="AL5" s="23">
        <f t="shared" si="3"/>
        <v>45959</v>
      </c>
      <c r="AM5" s="23">
        <f t="shared" si="3"/>
        <v>45960</v>
      </c>
      <c r="AN5" s="23">
        <f t="shared" si="3"/>
        <v>45961</v>
      </c>
      <c r="AO5" s="23">
        <f t="shared" si="3"/>
        <v>45962</v>
      </c>
      <c r="AP5" s="24">
        <f t="shared" si="3"/>
        <v>45963</v>
      </c>
      <c r="AQ5" s="25">
        <f>AP5+1</f>
        <v>45964</v>
      </c>
      <c r="AR5" s="23">
        <f>AQ5+1</f>
        <v>45965</v>
      </c>
      <c r="AS5" s="23">
        <f t="shared" si="3"/>
        <v>45966</v>
      </c>
      <c r="AT5" s="23">
        <f t="shared" si="3"/>
        <v>45967</v>
      </c>
      <c r="AU5" s="23">
        <f t="shared" si="3"/>
        <v>45968</v>
      </c>
      <c r="AV5" s="23">
        <f t="shared" si="3"/>
        <v>45969</v>
      </c>
      <c r="AW5" s="24">
        <f t="shared" si="3"/>
        <v>45970</v>
      </c>
      <c r="AX5" s="25">
        <f>AW5+1</f>
        <v>45971</v>
      </c>
      <c r="AY5" s="23">
        <f>AX5+1</f>
        <v>45972</v>
      </c>
      <c r="AZ5" s="23">
        <f t="shared" ref="AZ5:BD5" si="4">AY5+1</f>
        <v>45973</v>
      </c>
      <c r="BA5" s="23">
        <f t="shared" si="4"/>
        <v>45974</v>
      </c>
      <c r="BB5" s="23">
        <f t="shared" si="4"/>
        <v>45975</v>
      </c>
      <c r="BC5" s="23">
        <f t="shared" si="4"/>
        <v>45976</v>
      </c>
      <c r="BD5" s="24">
        <f t="shared" si="4"/>
        <v>45977</v>
      </c>
      <c r="BE5" s="25">
        <f>BD5+1</f>
        <v>45978</v>
      </c>
      <c r="BF5" s="23">
        <f>BE5+1</f>
        <v>45979</v>
      </c>
      <c r="BG5" s="23">
        <f t="shared" ref="BG5:BK5" si="5">BF5+1</f>
        <v>45980</v>
      </c>
      <c r="BH5" s="23">
        <f t="shared" si="5"/>
        <v>45981</v>
      </c>
      <c r="BI5" s="23">
        <f t="shared" si="5"/>
        <v>45982</v>
      </c>
      <c r="BJ5" s="23">
        <f t="shared" si="5"/>
        <v>45983</v>
      </c>
      <c r="BK5" s="23">
        <f t="shared" si="5"/>
        <v>45984</v>
      </c>
    </row>
    <row r="6" spans="1:63" s="19" customFormat="1" ht="15" customHeight="1">
      <c r="A6" s="141"/>
      <c r="B6" s="143"/>
      <c r="C6" s="172"/>
      <c r="D6" s="172"/>
      <c r="E6" s="172"/>
      <c r="H6" s="26" t="str">
        <f t="shared" ref="H6:AM6" si="6">LEFT(TEXT(H5,"ddd"),1)</f>
        <v>M</v>
      </c>
      <c r="I6" s="27" t="str">
        <f t="shared" si="6"/>
        <v>T</v>
      </c>
      <c r="J6" s="27" t="str">
        <f t="shared" si="6"/>
        <v>W</v>
      </c>
      <c r="K6" s="27" t="str">
        <f t="shared" si="6"/>
        <v>T</v>
      </c>
      <c r="L6" s="27" t="str">
        <f t="shared" si="6"/>
        <v>F</v>
      </c>
      <c r="M6" s="27" t="str">
        <f t="shared" si="6"/>
        <v>S</v>
      </c>
      <c r="N6" s="27" t="str">
        <f t="shared" si="6"/>
        <v>S</v>
      </c>
      <c r="O6" s="27" t="str">
        <f t="shared" si="6"/>
        <v>M</v>
      </c>
      <c r="P6" s="27" t="str">
        <f t="shared" si="6"/>
        <v>T</v>
      </c>
      <c r="Q6" s="27" t="str">
        <f t="shared" si="6"/>
        <v>W</v>
      </c>
      <c r="R6" s="27" t="str">
        <f t="shared" si="6"/>
        <v>T</v>
      </c>
      <c r="S6" s="27" t="str">
        <f t="shared" si="6"/>
        <v>F</v>
      </c>
      <c r="T6" s="27" t="str">
        <f t="shared" si="6"/>
        <v>S</v>
      </c>
      <c r="U6" s="27" t="str">
        <f t="shared" si="6"/>
        <v>S</v>
      </c>
      <c r="V6" s="27" t="str">
        <f t="shared" si="6"/>
        <v>M</v>
      </c>
      <c r="W6" s="27" t="str">
        <f t="shared" si="6"/>
        <v>T</v>
      </c>
      <c r="X6" s="27" t="str">
        <f t="shared" si="6"/>
        <v>W</v>
      </c>
      <c r="Y6" s="27" t="str">
        <f t="shared" si="6"/>
        <v>T</v>
      </c>
      <c r="Z6" s="27" t="str">
        <f t="shared" si="6"/>
        <v>F</v>
      </c>
      <c r="AA6" s="27" t="str">
        <f t="shared" si="6"/>
        <v>S</v>
      </c>
      <c r="AB6" s="27" t="str">
        <f t="shared" si="6"/>
        <v>S</v>
      </c>
      <c r="AC6" s="27" t="str">
        <f t="shared" si="6"/>
        <v>M</v>
      </c>
      <c r="AD6" s="27" t="str">
        <f t="shared" si="6"/>
        <v>T</v>
      </c>
      <c r="AE6" s="27" t="str">
        <f t="shared" si="6"/>
        <v>W</v>
      </c>
      <c r="AF6" s="27" t="str">
        <f t="shared" si="6"/>
        <v>T</v>
      </c>
      <c r="AG6" s="27" t="str">
        <f t="shared" si="6"/>
        <v>F</v>
      </c>
      <c r="AH6" s="27" t="str">
        <f t="shared" si="6"/>
        <v>S</v>
      </c>
      <c r="AI6" s="27" t="str">
        <f t="shared" si="6"/>
        <v>S</v>
      </c>
      <c r="AJ6" s="27" t="str">
        <f t="shared" si="6"/>
        <v>M</v>
      </c>
      <c r="AK6" s="27" t="str">
        <f t="shared" si="6"/>
        <v>T</v>
      </c>
      <c r="AL6" s="27" t="str">
        <f t="shared" si="6"/>
        <v>W</v>
      </c>
      <c r="AM6" s="27" t="str">
        <f t="shared" si="6"/>
        <v>T</v>
      </c>
      <c r="AN6" s="27" t="str">
        <f t="shared" ref="AN6:BK6" si="7">LEFT(TEXT(AN5,"ddd"),1)</f>
        <v>F</v>
      </c>
      <c r="AO6" s="27" t="str">
        <f t="shared" si="7"/>
        <v>S</v>
      </c>
      <c r="AP6" s="27" t="str">
        <f t="shared" si="7"/>
        <v>S</v>
      </c>
      <c r="AQ6" s="27" t="str">
        <f t="shared" si="7"/>
        <v>M</v>
      </c>
      <c r="AR6" s="27" t="str">
        <f t="shared" si="7"/>
        <v>T</v>
      </c>
      <c r="AS6" s="27" t="str">
        <f t="shared" si="7"/>
        <v>W</v>
      </c>
      <c r="AT6" s="27" t="str">
        <f t="shared" si="7"/>
        <v>T</v>
      </c>
      <c r="AU6" s="27" t="str">
        <f t="shared" si="7"/>
        <v>F</v>
      </c>
      <c r="AV6" s="27" t="str">
        <f t="shared" si="7"/>
        <v>S</v>
      </c>
      <c r="AW6" s="27" t="str">
        <f t="shared" si="7"/>
        <v>S</v>
      </c>
      <c r="AX6" s="27" t="str">
        <f t="shared" si="7"/>
        <v>M</v>
      </c>
      <c r="AY6" s="27" t="str">
        <f t="shared" si="7"/>
        <v>T</v>
      </c>
      <c r="AZ6" s="27" t="str">
        <f t="shared" si="7"/>
        <v>W</v>
      </c>
      <c r="BA6" s="27" t="str">
        <f t="shared" si="7"/>
        <v>T</v>
      </c>
      <c r="BB6" s="27" t="str">
        <f t="shared" si="7"/>
        <v>F</v>
      </c>
      <c r="BC6" s="27" t="str">
        <f t="shared" si="7"/>
        <v>S</v>
      </c>
      <c r="BD6" s="27" t="str">
        <f t="shared" si="7"/>
        <v>S</v>
      </c>
      <c r="BE6" s="27" t="str">
        <f t="shared" si="7"/>
        <v>M</v>
      </c>
      <c r="BF6" s="27" t="str">
        <f t="shared" si="7"/>
        <v>T</v>
      </c>
      <c r="BG6" s="27" t="str">
        <f t="shared" si="7"/>
        <v>W</v>
      </c>
      <c r="BH6" s="27" t="str">
        <f t="shared" si="7"/>
        <v>T</v>
      </c>
      <c r="BI6" s="27" t="str">
        <f t="shared" si="7"/>
        <v>F</v>
      </c>
      <c r="BJ6" s="27" t="str">
        <f t="shared" si="7"/>
        <v>S</v>
      </c>
      <c r="BK6" s="28" t="str">
        <f t="shared" si="7"/>
        <v>S</v>
      </c>
    </row>
    <row r="7" spans="1:63" s="19" customFormat="1" ht="30" hidden="1" customHeight="1">
      <c r="A7" s="7" t="s">
        <v>9</v>
      </c>
      <c r="B7" s="29"/>
      <c r="C7" s="30"/>
      <c r="D7" s="29"/>
      <c r="E7" s="29"/>
      <c r="G7" s="19" t="str">
        <f ca="1">IF(OR(ISBLANK(task_start),ISBLANK(task_end)),"",task_end-task_start+1)</f>
        <v/>
      </c>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row>
    <row r="8" spans="1:63" s="37" customFormat="1" ht="30" customHeight="1">
      <c r="A8" s="8"/>
      <c r="B8" s="32" t="s">
        <v>10</v>
      </c>
      <c r="C8" s="33"/>
      <c r="D8" s="34"/>
      <c r="E8" s="35"/>
      <c r="F8" s="11"/>
      <c r="G8" s="5" t="str">
        <f t="shared" ref="G8:G33" ca="1" si="8">IF(OR(ISBLANK(task_start),ISBLANK(task_end)),"",task_end-task_start+1)</f>
        <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spans="1:63" s="37" customFormat="1" ht="30" customHeight="1">
      <c r="A9" s="8"/>
      <c r="B9" s="38" t="s">
        <v>11</v>
      </c>
      <c r="C9" s="39" t="s">
        <v>12</v>
      </c>
      <c r="D9" s="40">
        <f>Project_Start</f>
        <v>45925</v>
      </c>
      <c r="E9" s="40">
        <v>45942</v>
      </c>
      <c r="F9" s="11"/>
      <c r="G9" s="5">
        <f t="shared" ca="1" si="8"/>
        <v>18</v>
      </c>
      <c r="H9" s="169"/>
      <c r="I9" s="169"/>
      <c r="J9" s="169"/>
      <c r="K9" s="169"/>
      <c r="L9" s="169"/>
      <c r="M9" s="169"/>
      <c r="N9" s="169"/>
      <c r="O9" s="169"/>
      <c r="P9" s="169"/>
      <c r="Q9" s="169"/>
      <c r="R9" s="169"/>
      <c r="S9" s="169"/>
      <c r="T9" s="169"/>
      <c r="U9" s="169"/>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row>
    <row r="10" spans="1:63" s="37" customFormat="1" ht="30" customHeight="1">
      <c r="A10" s="8"/>
      <c r="B10" s="42" t="s">
        <v>13</v>
      </c>
      <c r="C10" s="43" t="s">
        <v>12</v>
      </c>
      <c r="D10" s="44">
        <f>E9</f>
        <v>45942</v>
      </c>
      <c r="E10" s="44">
        <f>D10+45</f>
        <v>45987</v>
      </c>
      <c r="F10" s="11"/>
      <c r="G10" s="5">
        <f t="shared" ca="1" si="8"/>
        <v>46</v>
      </c>
      <c r="H10" s="41"/>
      <c r="I10" s="41"/>
      <c r="J10" s="41"/>
      <c r="K10" s="41"/>
      <c r="L10" s="41"/>
      <c r="M10" s="41"/>
      <c r="N10" s="41"/>
      <c r="O10" s="41"/>
      <c r="P10" s="41"/>
      <c r="Q10" s="41"/>
      <c r="R10" s="41"/>
      <c r="S10" s="41"/>
      <c r="T10" s="45"/>
      <c r="U10" s="45"/>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row>
    <row r="11" spans="1:63" s="37" customFormat="1" ht="30" customHeight="1">
      <c r="A11" s="7"/>
      <c r="B11" s="42" t="s">
        <v>14</v>
      </c>
      <c r="C11" s="43" t="s">
        <v>15</v>
      </c>
      <c r="D11" s="44">
        <v>45931</v>
      </c>
      <c r="E11" s="44">
        <f>D11+1</f>
        <v>45932</v>
      </c>
      <c r="F11" s="11"/>
      <c r="G11" s="5">
        <f t="shared" ca="1" si="8"/>
        <v>2</v>
      </c>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row>
    <row r="12" spans="1:63" s="37" customFormat="1" ht="30" customHeight="1">
      <c r="A12" s="7"/>
      <c r="B12" s="42" t="s">
        <v>16</v>
      </c>
      <c r="C12" s="43" t="s">
        <v>12</v>
      </c>
      <c r="D12" s="44">
        <f>E11</f>
        <v>45932</v>
      </c>
      <c r="E12" s="44">
        <f>D12+4</f>
        <v>45936</v>
      </c>
      <c r="F12" s="11"/>
      <c r="G12" s="5">
        <f t="shared" ca="1" si="8"/>
        <v>5</v>
      </c>
      <c r="H12" s="41"/>
      <c r="I12" s="41"/>
      <c r="J12" s="41"/>
      <c r="K12" s="41"/>
      <c r="L12" s="41"/>
      <c r="M12" s="41"/>
      <c r="N12" s="41"/>
      <c r="O12" s="41"/>
      <c r="P12" s="41"/>
      <c r="Q12" s="41"/>
      <c r="R12" s="41"/>
      <c r="S12" s="41"/>
      <c r="T12" s="41"/>
      <c r="U12" s="41"/>
      <c r="V12" s="41"/>
      <c r="W12" s="41"/>
      <c r="X12" s="45"/>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row>
    <row r="13" spans="1:63" s="37" customFormat="1" ht="30" customHeight="1">
      <c r="A13" s="7"/>
      <c r="B13" s="42" t="s">
        <v>17</v>
      </c>
      <c r="C13" s="43" t="s">
        <v>12</v>
      </c>
      <c r="D13" s="44">
        <v>45975</v>
      </c>
      <c r="E13" s="44">
        <v>45992</v>
      </c>
      <c r="F13" s="11"/>
      <c r="G13" s="5">
        <f t="shared" ca="1" si="8"/>
        <v>18</v>
      </c>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row>
    <row r="14" spans="1:63" s="37" customFormat="1" ht="30" customHeight="1">
      <c r="A14" s="8"/>
      <c r="B14" s="46" t="s">
        <v>18</v>
      </c>
      <c r="C14" s="47"/>
      <c r="D14" s="48"/>
      <c r="E14" s="49"/>
      <c r="F14" s="11"/>
      <c r="G14" s="5" t="str">
        <f t="shared" ca="1" si="8"/>
        <v/>
      </c>
    </row>
    <row r="15" spans="1:63" s="37" customFormat="1" ht="30" customHeight="1">
      <c r="A15" s="8"/>
      <c r="B15" s="50" t="s">
        <v>19</v>
      </c>
      <c r="C15" s="51" t="s">
        <v>20</v>
      </c>
      <c r="D15" s="52">
        <f>D13+1</f>
        <v>45976</v>
      </c>
      <c r="E15" s="52">
        <v>46045</v>
      </c>
      <c r="F15" s="11"/>
      <c r="G15" s="5">
        <f t="shared" ca="1" si="8"/>
        <v>70</v>
      </c>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row>
    <row r="16" spans="1:63" s="37" customFormat="1" ht="30" customHeight="1">
      <c r="A16" s="7"/>
      <c r="B16" s="50" t="s">
        <v>21</v>
      </c>
      <c r="C16" s="51" t="s">
        <v>15</v>
      </c>
      <c r="D16" s="52">
        <f>D15+2</f>
        <v>45978</v>
      </c>
      <c r="E16" s="52">
        <v>46059</v>
      </c>
      <c r="F16" s="11"/>
      <c r="G16" s="5">
        <f t="shared" ca="1" si="8"/>
        <v>82</v>
      </c>
      <c r="H16" s="41"/>
      <c r="I16" s="41"/>
      <c r="J16" s="41"/>
      <c r="K16" s="41"/>
      <c r="L16" s="41"/>
      <c r="M16" s="41"/>
      <c r="N16" s="41"/>
      <c r="O16" s="41"/>
      <c r="P16" s="41"/>
      <c r="Q16" s="41"/>
      <c r="R16" s="41"/>
      <c r="S16" s="41"/>
      <c r="T16" s="45"/>
      <c r="U16" s="45"/>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row>
    <row r="17" spans="1:63" s="37" customFormat="1" ht="30" customHeight="1">
      <c r="A17" s="7"/>
      <c r="B17" s="50" t="s">
        <v>22</v>
      </c>
      <c r="C17" s="51" t="s">
        <v>23</v>
      </c>
      <c r="D17" s="52">
        <f>D16</f>
        <v>45978</v>
      </c>
      <c r="E17" s="52">
        <v>46066</v>
      </c>
      <c r="F17" s="11"/>
      <c r="G17" s="5">
        <f t="shared" ca="1" si="8"/>
        <v>89</v>
      </c>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row>
    <row r="18" spans="1:63" s="37" customFormat="1" ht="30" customHeight="1">
      <c r="A18" s="7"/>
      <c r="B18" s="50" t="s">
        <v>24</v>
      </c>
      <c r="C18" s="51" t="s">
        <v>25</v>
      </c>
      <c r="D18" s="52">
        <f>D17</f>
        <v>45978</v>
      </c>
      <c r="E18" s="52">
        <v>46070</v>
      </c>
      <c r="F18" s="11"/>
      <c r="G18" s="5">
        <f t="shared" ca="1" si="8"/>
        <v>93</v>
      </c>
      <c r="H18" s="41"/>
      <c r="I18" s="41"/>
      <c r="J18" s="41"/>
      <c r="K18" s="41"/>
      <c r="L18" s="41"/>
      <c r="M18" s="41"/>
      <c r="N18" s="41"/>
      <c r="O18" s="41"/>
      <c r="P18" s="41"/>
      <c r="Q18" s="41"/>
      <c r="R18" s="41"/>
      <c r="S18" s="41"/>
      <c r="T18" s="41"/>
      <c r="U18" s="41"/>
      <c r="V18" s="41"/>
      <c r="W18" s="41"/>
      <c r="X18" s="45"/>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row>
    <row r="19" spans="1:63" s="37" customFormat="1" ht="30" customHeight="1">
      <c r="A19" s="7"/>
      <c r="B19" s="50" t="s">
        <v>26</v>
      </c>
      <c r="C19" s="51" t="s">
        <v>12</v>
      </c>
      <c r="D19" s="52">
        <f>E18</f>
        <v>46070</v>
      </c>
      <c r="E19" s="52">
        <f>D19+12</f>
        <v>46082</v>
      </c>
      <c r="F19" s="11"/>
      <c r="G19" s="5">
        <f t="shared" ca="1" si="8"/>
        <v>13</v>
      </c>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row>
    <row r="20" spans="1:63" s="37" customFormat="1" ht="30" customHeight="1">
      <c r="A20" s="7"/>
      <c r="B20" s="53" t="s">
        <v>27</v>
      </c>
      <c r="C20" s="54"/>
      <c r="D20" s="55"/>
      <c r="E20" s="56"/>
      <c r="F20" s="11"/>
      <c r="G20" s="5" t="str">
        <f t="shared" ca="1" si="8"/>
        <v/>
      </c>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row>
    <row r="21" spans="1:63" s="37" customFormat="1" ht="30" customHeight="1">
      <c r="A21" s="7"/>
      <c r="B21" s="58" t="s">
        <v>28</v>
      </c>
      <c r="C21" s="59" t="s">
        <v>12</v>
      </c>
      <c r="D21" s="60">
        <v>45931</v>
      </c>
      <c r="E21" s="60">
        <v>46143</v>
      </c>
      <c r="F21" s="11"/>
      <c r="G21" s="5">
        <f t="shared" ca="1" si="8"/>
        <v>213</v>
      </c>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row>
    <row r="22" spans="1:63" s="37" customFormat="1" ht="30" customHeight="1">
      <c r="A22" s="7"/>
      <c r="B22" s="58" t="s">
        <v>29</v>
      </c>
      <c r="C22" s="59" t="s">
        <v>12</v>
      </c>
      <c r="D22" s="60">
        <v>45931</v>
      </c>
      <c r="E22" s="60">
        <v>46132</v>
      </c>
      <c r="F22" s="11"/>
      <c r="G22" s="5">
        <f t="shared" ca="1" si="8"/>
        <v>202</v>
      </c>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row>
    <row r="23" spans="1:63" s="37" customFormat="1" ht="30" customHeight="1">
      <c r="A23" s="7"/>
      <c r="B23" s="58" t="s">
        <v>30</v>
      </c>
      <c r="C23" s="59" t="s">
        <v>12</v>
      </c>
      <c r="D23" s="60">
        <f>D22+5</f>
        <v>45936</v>
      </c>
      <c r="E23" s="60">
        <v>46122</v>
      </c>
      <c r="F23" s="11"/>
      <c r="G23" s="5">
        <f t="shared" ca="1" si="8"/>
        <v>187</v>
      </c>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row>
    <row r="24" spans="1:63" s="37" customFormat="1" ht="30" customHeight="1">
      <c r="A24" s="7"/>
      <c r="B24" s="58" t="s">
        <v>31</v>
      </c>
      <c r="C24" s="59" t="s">
        <v>12</v>
      </c>
      <c r="D24" s="60">
        <v>45931</v>
      </c>
      <c r="E24" s="60">
        <v>46132</v>
      </c>
      <c r="F24" s="11"/>
      <c r="G24" s="5">
        <f t="shared" ca="1" si="8"/>
        <v>202</v>
      </c>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row>
    <row r="25" spans="1:63" s="37" customFormat="1" ht="30" customHeight="1">
      <c r="A25" s="7"/>
      <c r="B25" s="58" t="s">
        <v>32</v>
      </c>
      <c r="C25" s="59" t="s">
        <v>33</v>
      </c>
      <c r="D25" s="60">
        <f>E17</f>
        <v>46066</v>
      </c>
      <c r="E25" s="60">
        <f>D25+10</f>
        <v>46076</v>
      </c>
      <c r="F25" s="11"/>
      <c r="G25" s="5">
        <f t="shared" ca="1" si="8"/>
        <v>11</v>
      </c>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row>
    <row r="26" spans="1:63" s="37" customFormat="1" ht="30" customHeight="1">
      <c r="A26" s="7"/>
      <c r="B26" s="61" t="s">
        <v>34</v>
      </c>
      <c r="C26" s="62"/>
      <c r="D26" s="63"/>
      <c r="E26" s="64"/>
      <c r="F26" s="11"/>
      <c r="G26" s="5" t="str">
        <f t="shared" ca="1" si="8"/>
        <v/>
      </c>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row>
    <row r="27" spans="1:63" s="37" customFormat="1" ht="30" customHeight="1">
      <c r="A27" s="7"/>
      <c r="B27" s="66" t="s">
        <v>35</v>
      </c>
      <c r="C27" s="67" t="s">
        <v>33</v>
      </c>
      <c r="D27" s="68">
        <v>46101</v>
      </c>
      <c r="E27" s="68">
        <v>46117</v>
      </c>
      <c r="F27" s="11"/>
      <c r="G27" s="5">
        <f t="shared" ca="1" si="8"/>
        <v>17</v>
      </c>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row>
    <row r="28" spans="1:63" s="37" customFormat="1" ht="30" customHeight="1">
      <c r="A28" s="7"/>
      <c r="B28" s="66" t="s">
        <v>36</v>
      </c>
      <c r="C28" s="67" t="s">
        <v>12</v>
      </c>
      <c r="D28" s="68">
        <v>46106</v>
      </c>
      <c r="E28" s="68">
        <v>46122</v>
      </c>
      <c r="F28" s="11"/>
      <c r="G28" s="5">
        <f t="shared" ca="1" si="8"/>
        <v>17</v>
      </c>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row>
    <row r="29" spans="1:63" s="37" customFormat="1" ht="30" customHeight="1">
      <c r="A29" s="7"/>
      <c r="B29" s="66" t="s">
        <v>37</v>
      </c>
      <c r="C29" s="67"/>
      <c r="D29" s="68">
        <f>E28+1</f>
        <v>46123</v>
      </c>
      <c r="E29" s="68">
        <f>D29+3</f>
        <v>46126</v>
      </c>
      <c r="F29" s="11"/>
      <c r="G29" s="5">
        <f t="shared" ca="1" si="8"/>
        <v>4</v>
      </c>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row>
    <row r="30" spans="1:63" s="37" customFormat="1" ht="30" customHeight="1">
      <c r="A30" s="7"/>
      <c r="B30" s="66" t="s">
        <v>38</v>
      </c>
      <c r="C30" s="67" t="s">
        <v>12</v>
      </c>
      <c r="D30" s="68">
        <v>46132</v>
      </c>
      <c r="E30" s="68">
        <v>46141</v>
      </c>
      <c r="F30" s="11"/>
      <c r="G30" s="5">
        <f t="shared" ca="1" si="8"/>
        <v>10</v>
      </c>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row>
    <row r="31" spans="1:63" s="37" customFormat="1" ht="30" customHeight="1">
      <c r="A31" s="7"/>
      <c r="B31" s="66" t="s">
        <v>39</v>
      </c>
      <c r="C31" s="67" t="s">
        <v>12</v>
      </c>
      <c r="D31" s="68">
        <v>46141</v>
      </c>
      <c r="E31" s="68">
        <v>46149</v>
      </c>
      <c r="F31" s="11"/>
      <c r="G31" s="5">
        <f t="shared" ca="1" si="8"/>
        <v>9</v>
      </c>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row>
    <row r="32" spans="1:63" s="37" customFormat="1" ht="30" customHeight="1">
      <c r="A32" s="7"/>
      <c r="B32" s="69"/>
      <c r="C32" s="70"/>
      <c r="D32" s="71"/>
      <c r="E32" s="71"/>
      <c r="F32" s="11"/>
      <c r="G32" s="5" t="str">
        <f t="shared" ca="1" si="8"/>
        <v/>
      </c>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row>
    <row r="33" spans="1:63" s="37" customFormat="1" ht="30" customHeight="1">
      <c r="A33" s="8"/>
      <c r="B33" s="72"/>
      <c r="C33" s="73"/>
      <c r="D33" s="74"/>
      <c r="E33" s="75"/>
      <c r="F33" s="11"/>
      <c r="G33" s="6" t="str">
        <f t="shared" ca="1" si="8"/>
        <v/>
      </c>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row>
    <row r="34" spans="1:63" ht="30" customHeight="1">
      <c r="F34" s="3"/>
    </row>
    <row r="35" spans="1:63" ht="30" customHeight="1">
      <c r="C35" s="10"/>
      <c r="E35" s="9"/>
    </row>
    <row r="36" spans="1:63" ht="30" customHeight="1">
      <c r="C36" s="4"/>
    </row>
  </sheetData>
  <mergeCells count="17">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H9:BK13">
    <cfRule type="expression" dxfId="8" priority="6">
      <formula>AND(task_start&lt;=H$5,ROUNDDOWN((task_end-task_start+1)*task_progress,0)+task_start-1&gt;=H$5)</formula>
    </cfRule>
    <cfRule type="expression" dxfId="7" priority="7" stopIfTrue="1">
      <formula>AND(task_end&gt;=H$5,task_start&lt;I$5)</formula>
    </cfRule>
  </conditionalFormatting>
  <conditionalFormatting sqref="H15:BK19">
    <cfRule type="expression" dxfId="6" priority="4">
      <formula>AND(task_start&lt;=H$5,ROUNDDOWN((task_end-task_start+1)*task_progress,0)+task_start-1&gt;=H$5)</formula>
    </cfRule>
    <cfRule type="expression" dxfId="5" priority="5" stopIfTrue="1">
      <formula>AND(task_end&gt;=H$5,task_start&lt;I$5)</formula>
    </cfRule>
  </conditionalFormatting>
  <conditionalFormatting sqref="H21:BK25">
    <cfRule type="expression" dxfId="4" priority="2">
      <formula>AND(task_start&lt;=H$5,ROUNDDOWN((task_end-task_start+1)*task_progress,0)+task_start-1&gt;=H$5)</formula>
    </cfRule>
    <cfRule type="expression" dxfId="3" priority="3" stopIfTrue="1">
      <formula>AND(task_end&gt;=H$5,task_start&lt;I$5)</formula>
    </cfRule>
  </conditionalFormatting>
  <conditionalFormatting sqref="H27:BK31">
    <cfRule type="expression" dxfId="2" priority="36">
      <formula>AND(task_start&lt;=H$5,ROUNDDOWN((task_end-task_start+1)*task_progress,0)+task_start-1&gt;=H$5)</formula>
    </cfRule>
    <cfRule type="expression" dxfId="1" priority="37" stopIfTrue="1">
      <formula>AND(task_end&gt;=H$5,task_start&lt;I$5)</formula>
    </cfRule>
  </conditionalFormatting>
  <conditionalFormatting sqref="H4:BK31">
    <cfRule type="expression" dxfId="0" priority="1">
      <formula>AND(TODAY()&gt;=H$5, TODAY()&lt;I$5)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1B88-B755-4771-9A1E-11E6A6873423}">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4819-653D-49D6-85C8-7131A9B0EC4E}">
  <dimension ref="A1:X60"/>
  <sheetViews>
    <sheetView workbookViewId="0"/>
  </sheetViews>
  <sheetFormatPr defaultRowHeight="14.25"/>
  <cols>
    <col min="1" max="1" width="41.625" bestFit="1" customWidth="1"/>
    <col min="2" max="2" width="15" bestFit="1" customWidth="1"/>
    <col min="3" max="3" width="8.25" bestFit="1" customWidth="1"/>
    <col min="4" max="4" width="6.25" bestFit="1" customWidth="1"/>
    <col min="6" max="6" width="30.375" bestFit="1" customWidth="1"/>
    <col min="7" max="7" width="7.5" bestFit="1" customWidth="1"/>
    <col min="9" max="9" width="12.125" customWidth="1"/>
    <col min="10" max="10" width="10" bestFit="1" customWidth="1"/>
    <col min="11" max="11" width="15" bestFit="1" customWidth="1"/>
    <col min="12" max="12" width="12.875" customWidth="1"/>
    <col min="13" max="13" width="6.5" bestFit="1" customWidth="1"/>
    <col min="14" max="14" width="4.875" bestFit="1" customWidth="1"/>
    <col min="15" max="15" width="35.625" bestFit="1" customWidth="1"/>
    <col min="16" max="16" width="6.875" bestFit="1" customWidth="1"/>
    <col min="22" max="22" width="77.625" bestFit="1" customWidth="1"/>
  </cols>
  <sheetData>
    <row r="1" spans="1:24" ht="23.25">
      <c r="A1" s="134">
        <v>8</v>
      </c>
      <c r="B1" s="80"/>
      <c r="C1" s="80"/>
      <c r="D1" s="80"/>
      <c r="E1" s="80"/>
      <c r="F1" s="160" t="s">
        <v>40</v>
      </c>
      <c r="G1" s="160"/>
      <c r="H1" s="160"/>
      <c r="I1" s="160"/>
      <c r="J1" s="160"/>
      <c r="K1" s="160"/>
      <c r="L1" s="160"/>
      <c r="M1" s="160"/>
      <c r="N1" s="160"/>
      <c r="O1" s="160"/>
      <c r="P1" s="160"/>
      <c r="Q1" s="160"/>
      <c r="R1" s="160"/>
      <c r="S1" s="160"/>
      <c r="T1" s="160"/>
      <c r="U1" s="160"/>
      <c r="V1" s="160"/>
      <c r="W1" s="80"/>
      <c r="X1" s="81"/>
    </row>
    <row r="2" spans="1:24" ht="23.25" customHeight="1">
      <c r="A2" s="152" t="s">
        <v>0</v>
      </c>
      <c r="B2" s="153"/>
      <c r="C2" s="82"/>
      <c r="D2" s="82"/>
      <c r="E2" s="82"/>
      <c r="F2" s="161" t="s">
        <v>41</v>
      </c>
      <c r="G2" s="161"/>
      <c r="H2" s="161"/>
      <c r="I2" s="161"/>
      <c r="J2" s="161"/>
      <c r="K2" s="161"/>
      <c r="L2" s="161"/>
      <c r="M2" s="161"/>
      <c r="N2" s="161"/>
      <c r="O2" s="161"/>
      <c r="P2" s="161"/>
      <c r="Q2" s="161"/>
      <c r="R2" s="161"/>
      <c r="S2" s="161"/>
      <c r="T2" s="161"/>
      <c r="U2" s="161"/>
      <c r="V2" s="161"/>
      <c r="W2" s="82"/>
      <c r="X2" s="83"/>
    </row>
    <row r="3" spans="1:24" ht="15.75">
      <c r="A3" s="84"/>
      <c r="B3" s="82"/>
      <c r="C3" s="82"/>
      <c r="D3" s="82"/>
      <c r="E3" s="82"/>
      <c r="F3" s="85" t="s">
        <v>42</v>
      </c>
      <c r="G3" s="82"/>
      <c r="H3" s="82"/>
      <c r="I3" s="82"/>
      <c r="J3" s="82"/>
      <c r="K3" s="82"/>
      <c r="L3" s="82" t="s">
        <v>43</v>
      </c>
      <c r="M3" s="82"/>
      <c r="N3" s="82"/>
      <c r="O3" s="82"/>
      <c r="P3" s="82"/>
      <c r="Q3" s="82"/>
      <c r="R3" s="82"/>
      <c r="S3" s="82"/>
      <c r="T3" s="82"/>
      <c r="U3" s="82"/>
      <c r="V3" s="82"/>
      <c r="W3" s="82"/>
      <c r="X3" s="83"/>
    </row>
    <row r="4" spans="1:24" ht="23.25">
      <c r="A4" s="86" t="s">
        <v>44</v>
      </c>
      <c r="B4" s="162" t="s">
        <v>45</v>
      </c>
      <c r="C4" s="162"/>
      <c r="D4" s="162"/>
      <c r="E4" s="82"/>
      <c r="F4" s="163" t="s">
        <v>46</v>
      </c>
      <c r="G4" s="163"/>
      <c r="H4" s="163"/>
      <c r="I4" s="163"/>
      <c r="J4" s="163"/>
      <c r="K4" s="163"/>
      <c r="L4" s="163"/>
      <c r="M4" s="163"/>
      <c r="N4" s="163"/>
      <c r="O4" s="163"/>
      <c r="P4" s="163"/>
      <c r="Q4" s="163"/>
      <c r="R4" s="163"/>
      <c r="S4" s="82"/>
      <c r="T4" s="82"/>
      <c r="U4" s="82"/>
      <c r="V4" s="87" t="s">
        <v>47</v>
      </c>
      <c r="W4" s="82"/>
      <c r="X4" s="83"/>
    </row>
    <row r="5" spans="1:24" ht="24">
      <c r="A5" s="88" t="s">
        <v>48</v>
      </c>
      <c r="B5" s="164" t="s">
        <v>49</v>
      </c>
      <c r="C5" s="164"/>
      <c r="D5" s="164"/>
      <c r="E5" s="82"/>
      <c r="F5" s="165" t="s">
        <v>50</v>
      </c>
      <c r="G5" s="165"/>
      <c r="H5" s="165"/>
      <c r="I5" s="165"/>
      <c r="J5" s="165"/>
      <c r="K5" s="165"/>
      <c r="L5" s="165"/>
      <c r="M5" s="165"/>
      <c r="N5" s="165"/>
      <c r="O5" s="165"/>
      <c r="P5" s="165"/>
      <c r="Q5" s="165"/>
      <c r="R5" s="82"/>
      <c r="S5" s="82"/>
      <c r="T5" s="82"/>
      <c r="U5" s="82"/>
      <c r="V5" s="87" t="s">
        <v>51</v>
      </c>
      <c r="W5" s="82"/>
      <c r="X5" s="83"/>
    </row>
    <row r="6" spans="1:24" ht="23.25">
      <c r="A6" s="89" t="s">
        <v>52</v>
      </c>
      <c r="B6" s="166" t="s">
        <v>53</v>
      </c>
      <c r="C6" s="166"/>
      <c r="D6" s="166"/>
      <c r="E6" s="82"/>
      <c r="F6" s="167" t="s">
        <v>54</v>
      </c>
      <c r="G6" s="167"/>
      <c r="H6" s="167"/>
      <c r="I6" s="167"/>
      <c r="J6" s="167"/>
      <c r="K6" s="167"/>
      <c r="L6" s="167"/>
      <c r="M6" s="167"/>
      <c r="N6" s="167"/>
      <c r="O6" s="167"/>
      <c r="P6" s="167"/>
      <c r="Q6" s="167"/>
      <c r="R6" s="82"/>
      <c r="S6" s="82"/>
      <c r="T6" s="82"/>
      <c r="U6" s="82"/>
      <c r="V6" s="82" t="s">
        <v>55</v>
      </c>
      <c r="W6" s="82"/>
      <c r="X6" s="83"/>
    </row>
    <row r="7" spans="1:24" ht="18">
      <c r="A7" s="90"/>
      <c r="B7" s="91"/>
      <c r="C7" s="91"/>
      <c r="D7" s="91"/>
      <c r="E7" s="82"/>
      <c r="F7" s="165" t="s">
        <v>56</v>
      </c>
      <c r="G7" s="165"/>
      <c r="H7" s="165"/>
      <c r="I7" s="165"/>
      <c r="J7" s="165"/>
      <c r="K7" s="165"/>
      <c r="L7" s="165"/>
      <c r="M7" s="165"/>
      <c r="N7" s="165"/>
      <c r="O7" s="165"/>
      <c r="P7" s="165"/>
      <c r="Q7" s="165"/>
      <c r="R7" s="165"/>
      <c r="S7" s="82"/>
      <c r="T7" s="82"/>
      <c r="U7" s="82"/>
      <c r="V7" s="82" t="s">
        <v>57</v>
      </c>
      <c r="W7" s="82"/>
      <c r="X7" s="83"/>
    </row>
    <row r="8" spans="1:24" ht="18">
      <c r="A8" s="92" t="s">
        <v>58</v>
      </c>
      <c r="B8" s="93">
        <v>200</v>
      </c>
      <c r="C8" s="94" t="s">
        <v>59</v>
      </c>
      <c r="D8" s="95">
        <v>0</v>
      </c>
      <c r="E8" s="82"/>
      <c r="F8" s="82" t="s">
        <v>60</v>
      </c>
      <c r="G8" s="82"/>
      <c r="H8" s="82"/>
      <c r="I8" s="82"/>
      <c r="J8" s="82"/>
      <c r="K8" s="82"/>
      <c r="L8" s="83"/>
      <c r="M8" s="83"/>
      <c r="N8" s="83"/>
      <c r="O8" s="96" t="s">
        <v>61</v>
      </c>
      <c r="P8" s="168" t="s">
        <v>62</v>
      </c>
      <c r="Q8" s="168"/>
      <c r="R8" s="82"/>
      <c r="S8" s="82"/>
      <c r="T8" s="82"/>
      <c r="U8" s="82"/>
      <c r="V8" s="97" t="s">
        <v>63</v>
      </c>
      <c r="W8" s="82"/>
      <c r="X8" s="83"/>
    </row>
    <row r="9" spans="1:24" ht="18">
      <c r="A9" s="92" t="s">
        <v>64</v>
      </c>
      <c r="B9" s="98">
        <v>30</v>
      </c>
      <c r="C9" s="94" t="s">
        <v>65</v>
      </c>
      <c r="D9" s="99">
        <v>200</v>
      </c>
      <c r="E9" s="82"/>
      <c r="F9" s="82" t="s">
        <v>66</v>
      </c>
      <c r="G9" s="82"/>
      <c r="H9" s="82"/>
      <c r="I9" s="82"/>
      <c r="J9" s="82"/>
      <c r="K9" s="82"/>
      <c r="L9" s="83"/>
      <c r="M9" s="83"/>
      <c r="N9" s="83"/>
      <c r="O9" s="100" t="s">
        <v>67</v>
      </c>
      <c r="P9" s="155" t="s">
        <v>68</v>
      </c>
      <c r="Q9" s="155"/>
      <c r="R9" s="82"/>
      <c r="S9" s="82"/>
      <c r="T9" s="82"/>
      <c r="U9" s="82"/>
      <c r="V9" s="82" t="s">
        <v>69</v>
      </c>
      <c r="W9" s="82"/>
      <c r="X9" s="83"/>
    </row>
    <row r="10" spans="1:24" ht="18">
      <c r="A10" s="92" t="s">
        <v>70</v>
      </c>
      <c r="B10" s="98">
        <v>150</v>
      </c>
      <c r="C10" s="94" t="s">
        <v>71</v>
      </c>
      <c r="D10" s="99">
        <v>200</v>
      </c>
      <c r="E10" s="82"/>
      <c r="F10" s="82" t="s">
        <v>72</v>
      </c>
      <c r="G10" s="82"/>
      <c r="H10" s="82"/>
      <c r="I10" s="82"/>
      <c r="J10" s="82"/>
      <c r="K10" s="82"/>
      <c r="L10" s="83"/>
      <c r="M10" s="83"/>
      <c r="N10" s="83"/>
      <c r="O10" s="100" t="s">
        <v>73</v>
      </c>
      <c r="P10" s="155" t="s">
        <v>74</v>
      </c>
      <c r="Q10" s="155"/>
      <c r="R10" s="82"/>
      <c r="S10" s="82"/>
      <c r="T10" s="82"/>
      <c r="U10" s="82"/>
      <c r="V10" s="82" t="s">
        <v>75</v>
      </c>
      <c r="W10" s="82"/>
      <c r="X10" s="83"/>
    </row>
    <row r="11" spans="1:24" ht="18">
      <c r="A11" s="101" t="s">
        <v>76</v>
      </c>
      <c r="B11" s="102">
        <v>28</v>
      </c>
      <c r="C11" s="103"/>
      <c r="D11" s="103"/>
      <c r="E11" s="82"/>
      <c r="F11" s="82" t="s">
        <v>77</v>
      </c>
      <c r="G11" s="82"/>
      <c r="H11" s="82"/>
      <c r="I11" s="82"/>
      <c r="J11" s="82"/>
      <c r="K11" s="82"/>
      <c r="L11" s="83"/>
      <c r="M11" s="83"/>
      <c r="N11" s="83"/>
      <c r="O11" s="100" t="s">
        <v>78</v>
      </c>
      <c r="P11" s="155" t="s">
        <v>79</v>
      </c>
      <c r="Q11" s="155"/>
      <c r="R11" s="82"/>
      <c r="S11" s="82"/>
      <c r="T11" s="82"/>
      <c r="U11" s="82"/>
      <c r="V11" s="156"/>
      <c r="W11" s="82"/>
      <c r="X11" s="83"/>
    </row>
    <row r="12" spans="1:24" ht="24.75" customHeight="1">
      <c r="A12" s="101" t="s">
        <v>80</v>
      </c>
      <c r="B12" s="152" t="s">
        <v>0</v>
      </c>
      <c r="C12" s="152"/>
      <c r="D12" s="103"/>
      <c r="E12" s="82"/>
      <c r="F12" s="82"/>
      <c r="G12" s="82"/>
      <c r="H12" s="82"/>
      <c r="I12" s="82"/>
      <c r="J12" s="82"/>
      <c r="K12" s="82"/>
      <c r="L12" s="83"/>
      <c r="M12" s="83"/>
      <c r="N12" s="83"/>
      <c r="O12" s="104" t="s">
        <v>81</v>
      </c>
      <c r="P12" s="155" t="s">
        <v>79</v>
      </c>
      <c r="Q12" s="155"/>
      <c r="R12" s="82"/>
      <c r="S12" s="82"/>
      <c r="T12" s="82"/>
      <c r="U12" s="82"/>
      <c r="V12" s="156"/>
      <c r="W12" s="82"/>
      <c r="X12" s="83"/>
    </row>
    <row r="13" spans="1:24" ht="18">
      <c r="A13" s="105" t="s">
        <v>82</v>
      </c>
      <c r="B13" s="157" t="s">
        <v>83</v>
      </c>
      <c r="C13" s="157"/>
      <c r="D13" s="106"/>
      <c r="E13" s="82"/>
      <c r="F13" s="82" t="s">
        <v>84</v>
      </c>
      <c r="G13" s="82"/>
      <c r="H13" s="82"/>
      <c r="I13" s="131" t="s">
        <v>85</v>
      </c>
      <c r="J13" s="132" t="s">
        <v>86</v>
      </c>
      <c r="K13" s="82"/>
      <c r="L13" s="82"/>
      <c r="M13" s="82"/>
      <c r="N13" s="83"/>
      <c r="O13" s="100" t="s">
        <v>87</v>
      </c>
      <c r="P13" s="155" t="s">
        <v>79</v>
      </c>
      <c r="Q13" s="155"/>
      <c r="R13" s="82"/>
      <c r="S13" s="82"/>
      <c r="T13" s="82"/>
      <c r="U13" s="82"/>
      <c r="V13" s="156"/>
      <c r="W13" s="82"/>
      <c r="X13" s="83"/>
    </row>
    <row r="14" spans="1:24" ht="18">
      <c r="A14" s="108" t="s">
        <v>25</v>
      </c>
      <c r="B14" s="158" t="s">
        <v>88</v>
      </c>
      <c r="C14" s="158"/>
      <c r="D14" s="99">
        <v>30</v>
      </c>
      <c r="E14" s="82"/>
      <c r="F14" s="82" t="s">
        <v>89</v>
      </c>
      <c r="G14" s="82"/>
      <c r="H14" s="82"/>
      <c r="I14" s="107" t="s">
        <v>90</v>
      </c>
      <c r="J14" s="132" t="s">
        <v>86</v>
      </c>
      <c r="K14" s="82"/>
      <c r="L14" s="82"/>
      <c r="M14" s="82"/>
      <c r="N14" s="83"/>
      <c r="O14" s="100" t="s">
        <v>91</v>
      </c>
      <c r="P14" s="155" t="s">
        <v>79</v>
      </c>
      <c r="Q14" s="155"/>
      <c r="R14" s="82"/>
      <c r="S14" s="82"/>
      <c r="T14" s="82"/>
      <c r="U14" s="82"/>
      <c r="V14" s="156"/>
      <c r="W14" s="82"/>
      <c r="X14" s="83"/>
    </row>
    <row r="15" spans="1:24" ht="18">
      <c r="A15" s="108" t="s">
        <v>92</v>
      </c>
      <c r="B15" s="158" t="s">
        <v>93</v>
      </c>
      <c r="C15" s="158"/>
      <c r="D15" s="99">
        <v>30</v>
      </c>
      <c r="E15" s="82"/>
      <c r="F15" s="82"/>
      <c r="G15" s="82"/>
      <c r="H15" s="82"/>
      <c r="I15" s="82"/>
      <c r="J15" s="132" t="s">
        <v>86</v>
      </c>
      <c r="K15" s="82"/>
      <c r="L15" s="83"/>
      <c r="M15" s="83"/>
      <c r="N15" s="83"/>
      <c r="O15" s="100" t="s">
        <v>94</v>
      </c>
      <c r="P15" s="155" t="s">
        <v>79</v>
      </c>
      <c r="Q15" s="155"/>
      <c r="R15" s="82"/>
      <c r="S15" s="82"/>
      <c r="T15" s="82"/>
      <c r="U15" s="82"/>
      <c r="V15" s="156"/>
      <c r="W15" s="82"/>
      <c r="X15" s="83"/>
    </row>
    <row r="16" spans="1:24" ht="15">
      <c r="A16" s="108" t="s">
        <v>95</v>
      </c>
      <c r="B16" s="158" t="s">
        <v>96</v>
      </c>
      <c r="C16" s="158"/>
      <c r="D16" s="99">
        <v>30</v>
      </c>
      <c r="E16" s="82"/>
      <c r="F16" s="82" t="s">
        <v>97</v>
      </c>
      <c r="G16" s="82"/>
      <c r="H16" s="82"/>
      <c r="I16" s="107" t="s">
        <v>98</v>
      </c>
      <c r="J16" s="132" t="s">
        <v>86</v>
      </c>
      <c r="K16" s="82"/>
      <c r="L16" s="82"/>
      <c r="M16" s="82"/>
      <c r="N16" s="82"/>
      <c r="O16" s="82"/>
      <c r="P16" s="82"/>
      <c r="Q16" s="82"/>
      <c r="R16" s="82"/>
      <c r="S16" s="82"/>
      <c r="T16" s="82"/>
      <c r="U16" s="82"/>
      <c r="V16" s="82"/>
      <c r="W16" s="82"/>
      <c r="X16" s="83"/>
    </row>
    <row r="17" spans="1:24" ht="15">
      <c r="A17" s="108" t="s">
        <v>23</v>
      </c>
      <c r="B17" s="158" t="s">
        <v>99</v>
      </c>
      <c r="C17" s="158"/>
      <c r="D17" s="99">
        <v>30</v>
      </c>
      <c r="E17" s="82"/>
      <c r="F17" s="82" t="s">
        <v>100</v>
      </c>
      <c r="G17" s="82"/>
      <c r="H17" s="82"/>
      <c r="I17" s="107" t="s">
        <v>101</v>
      </c>
      <c r="J17" s="132" t="s">
        <v>86</v>
      </c>
      <c r="K17" s="82"/>
      <c r="L17" s="82"/>
      <c r="M17" s="82"/>
      <c r="N17" s="82"/>
      <c r="O17" s="82"/>
      <c r="P17" s="82"/>
      <c r="Q17" s="82"/>
      <c r="R17" s="82"/>
      <c r="S17" s="82"/>
      <c r="T17" s="82"/>
      <c r="U17" s="82"/>
      <c r="V17" s="82"/>
      <c r="W17" s="82"/>
      <c r="X17" s="83"/>
    </row>
    <row r="18" spans="1:24" ht="15" customHeight="1">
      <c r="A18" s="108" t="s">
        <v>15</v>
      </c>
      <c r="B18" s="158" t="s">
        <v>102</v>
      </c>
      <c r="C18" s="158"/>
      <c r="D18" s="99">
        <v>30</v>
      </c>
      <c r="E18" s="82"/>
      <c r="F18" s="82" t="s">
        <v>103</v>
      </c>
      <c r="G18" s="82"/>
      <c r="H18" s="82"/>
      <c r="I18" s="107" t="s">
        <v>104</v>
      </c>
      <c r="J18" s="132" t="s">
        <v>86</v>
      </c>
      <c r="K18" s="82"/>
      <c r="L18" s="82"/>
      <c r="M18" s="82"/>
      <c r="N18" s="82"/>
      <c r="O18" s="82"/>
      <c r="P18" s="82"/>
      <c r="Q18" s="82"/>
      <c r="R18" s="82"/>
      <c r="S18" s="82"/>
      <c r="T18" s="82"/>
      <c r="U18" s="82"/>
      <c r="V18" s="82"/>
      <c r="W18" s="82"/>
      <c r="X18" s="83"/>
    </row>
    <row r="19" spans="1:24" ht="15">
      <c r="A19" s="108"/>
      <c r="B19" s="159"/>
      <c r="C19" s="159"/>
      <c r="D19" s="99"/>
      <c r="E19" s="82"/>
      <c r="F19" s="82"/>
      <c r="G19" s="82"/>
      <c r="H19" s="82"/>
      <c r="I19" s="82"/>
      <c r="J19" s="82"/>
      <c r="K19" s="109"/>
      <c r="L19" s="109"/>
      <c r="M19" s="109"/>
      <c r="N19" s="109"/>
      <c r="O19" s="109"/>
      <c r="P19" s="109"/>
      <c r="Q19" s="109"/>
      <c r="R19" s="109"/>
      <c r="S19" s="109"/>
      <c r="T19" s="109"/>
      <c r="U19" s="109"/>
      <c r="V19" s="82"/>
      <c r="W19" s="82"/>
      <c r="X19" s="83"/>
    </row>
    <row r="20" spans="1:24" ht="15.75">
      <c r="A20" s="108"/>
      <c r="B20" s="159"/>
      <c r="C20" s="159"/>
      <c r="D20" s="99"/>
      <c r="E20" s="82"/>
      <c r="F20" s="82"/>
      <c r="G20" s="82"/>
      <c r="H20" s="82"/>
      <c r="I20" s="82"/>
      <c r="J20" s="110"/>
      <c r="K20" s="154" t="s">
        <v>105</v>
      </c>
      <c r="L20" s="154"/>
      <c r="M20" s="154"/>
      <c r="N20" s="154"/>
      <c r="O20" s="154"/>
      <c r="P20" s="154"/>
      <c r="Q20" s="154"/>
      <c r="R20" s="154"/>
      <c r="S20" s="154"/>
      <c r="T20" s="154"/>
      <c r="U20" s="154"/>
      <c r="V20" s="82"/>
      <c r="W20" s="82"/>
      <c r="X20" s="83"/>
    </row>
    <row r="21" spans="1:24" ht="36" customHeight="1">
      <c r="A21" s="89" t="s">
        <v>106</v>
      </c>
      <c r="B21" s="111" t="s">
        <v>107</v>
      </c>
      <c r="C21" s="147" t="s">
        <v>42</v>
      </c>
      <c r="D21" s="147"/>
      <c r="E21" s="82"/>
      <c r="F21" s="82"/>
      <c r="G21" s="82"/>
      <c r="H21" s="82"/>
      <c r="I21" s="82"/>
      <c r="J21" s="110"/>
      <c r="K21" s="148" t="s">
        <v>108</v>
      </c>
      <c r="L21" s="148"/>
      <c r="M21" s="148"/>
      <c r="N21" s="148"/>
      <c r="O21" s="148" t="s">
        <v>109</v>
      </c>
      <c r="P21" s="148"/>
      <c r="Q21" s="148"/>
      <c r="R21" s="148"/>
      <c r="S21" s="148" t="s">
        <v>110</v>
      </c>
      <c r="T21" s="148"/>
      <c r="U21" s="148"/>
      <c r="V21" s="82"/>
      <c r="W21" s="82"/>
      <c r="X21" s="83"/>
    </row>
    <row r="22" spans="1:24" ht="15">
      <c r="A22" s="84"/>
      <c r="B22" s="82"/>
      <c r="C22" s="82"/>
      <c r="D22" s="82"/>
      <c r="E22" s="82"/>
      <c r="F22" s="82"/>
      <c r="G22" s="82"/>
      <c r="H22" s="82"/>
      <c r="I22" s="82"/>
      <c r="J22" s="82"/>
      <c r="K22" s="149" t="s">
        <v>111</v>
      </c>
      <c r="L22" s="150"/>
      <c r="M22" s="150"/>
      <c r="N22" s="151"/>
      <c r="O22" s="149" t="s">
        <v>111</v>
      </c>
      <c r="P22" s="149"/>
      <c r="Q22" s="149"/>
      <c r="R22" s="149"/>
      <c r="S22" s="149" t="s">
        <v>111</v>
      </c>
      <c r="T22" s="149"/>
      <c r="U22" s="149"/>
      <c r="V22" s="82"/>
      <c r="W22" s="82"/>
      <c r="X22" s="83"/>
    </row>
    <row r="23" spans="1:24">
      <c r="A23" s="84" t="s">
        <v>112</v>
      </c>
      <c r="B23" s="82">
        <v>60</v>
      </c>
      <c r="C23" s="82"/>
      <c r="D23" s="82"/>
      <c r="E23" s="82"/>
      <c r="F23" s="82"/>
      <c r="G23" s="82"/>
      <c r="H23" s="82"/>
      <c r="I23" s="82"/>
      <c r="J23" s="82"/>
      <c r="K23" s="82"/>
      <c r="L23" s="82"/>
      <c r="M23" s="82"/>
      <c r="N23" s="82"/>
      <c r="O23" s="82"/>
      <c r="P23" s="82"/>
      <c r="Q23" s="82"/>
      <c r="R23" s="82"/>
      <c r="S23" s="82"/>
      <c r="T23" s="82"/>
      <c r="U23" s="82"/>
      <c r="V23" s="82"/>
      <c r="W23" s="82"/>
      <c r="X23" s="83"/>
    </row>
    <row r="24" spans="1:24">
      <c r="A24" s="84"/>
      <c r="B24" s="82"/>
      <c r="C24" s="82"/>
      <c r="D24" s="82"/>
      <c r="E24" s="82"/>
      <c r="F24" s="82"/>
      <c r="G24" s="82"/>
      <c r="H24" s="82"/>
      <c r="I24" s="82"/>
      <c r="J24" s="82"/>
      <c r="K24" s="82"/>
      <c r="L24" s="109"/>
      <c r="M24" s="109"/>
      <c r="N24" s="109"/>
      <c r="O24" s="82"/>
      <c r="P24" s="82"/>
      <c r="Q24" s="82"/>
      <c r="R24" s="109"/>
      <c r="S24" s="109"/>
      <c r="T24" s="109"/>
      <c r="U24" s="109"/>
      <c r="V24" s="82"/>
      <c r="W24" s="82"/>
      <c r="X24" s="83"/>
    </row>
    <row r="25" spans="1:24" ht="18">
      <c r="A25" s="84"/>
      <c r="B25" s="82"/>
      <c r="C25" s="82"/>
      <c r="D25" s="82"/>
      <c r="E25" s="82"/>
      <c r="F25" s="109"/>
      <c r="G25" s="112" t="s">
        <v>12</v>
      </c>
      <c r="H25" s="109">
        <v>28</v>
      </c>
      <c r="I25" s="109"/>
      <c r="J25" s="109"/>
      <c r="K25" s="113"/>
      <c r="L25" s="146" t="s">
        <v>113</v>
      </c>
      <c r="M25" s="146"/>
      <c r="N25" s="146"/>
      <c r="O25" s="152" t="s">
        <v>0</v>
      </c>
      <c r="P25" s="153"/>
      <c r="Q25" s="114"/>
      <c r="R25" s="115">
        <v>0</v>
      </c>
      <c r="S25" s="115">
        <v>200</v>
      </c>
      <c r="T25" s="115">
        <v>0</v>
      </c>
      <c r="U25" s="115">
        <v>200</v>
      </c>
      <c r="V25" s="109"/>
      <c r="W25" s="82"/>
      <c r="X25" s="83"/>
    </row>
    <row r="26" spans="1:24" ht="61.5">
      <c r="A26" s="84"/>
      <c r="B26" s="82"/>
      <c r="C26" s="82"/>
      <c r="D26" s="82"/>
      <c r="E26" s="110"/>
      <c r="F26" s="116" t="s">
        <v>114</v>
      </c>
      <c r="G26" s="116" t="s">
        <v>115</v>
      </c>
      <c r="H26" s="116" t="s">
        <v>116</v>
      </c>
      <c r="I26" s="116" t="s">
        <v>117</v>
      </c>
      <c r="J26" s="117" t="s">
        <v>118</v>
      </c>
      <c r="K26" s="116" t="s">
        <v>119</v>
      </c>
      <c r="L26" s="116" t="s">
        <v>120</v>
      </c>
      <c r="M26" s="118" t="s">
        <v>12</v>
      </c>
      <c r="N26" s="119" t="s">
        <v>121</v>
      </c>
      <c r="O26" s="118" t="s">
        <v>122</v>
      </c>
      <c r="P26" s="118" t="s">
        <v>123</v>
      </c>
      <c r="Q26" s="120" t="s">
        <v>124</v>
      </c>
      <c r="R26" s="121" t="s">
        <v>125</v>
      </c>
      <c r="S26" s="121" t="s">
        <v>126</v>
      </c>
      <c r="T26" s="121" t="s">
        <v>127</v>
      </c>
      <c r="U26" s="121" t="s">
        <v>128</v>
      </c>
      <c r="V26" s="118" t="s">
        <v>129</v>
      </c>
      <c r="W26" s="82"/>
      <c r="X26" s="83"/>
    </row>
    <row r="27" spans="1:24" ht="15">
      <c r="A27" s="122" t="s">
        <v>130</v>
      </c>
      <c r="B27" s="123"/>
      <c r="C27" s="123"/>
      <c r="D27" s="82"/>
      <c r="E27" s="83"/>
      <c r="F27" s="94" t="s">
        <v>131</v>
      </c>
      <c r="G27" s="124"/>
      <c r="H27" s="106" t="s">
        <v>132</v>
      </c>
      <c r="I27" s="106" t="s">
        <v>132</v>
      </c>
      <c r="J27" s="106" t="s">
        <v>132</v>
      </c>
      <c r="K27" s="103" t="s">
        <v>133</v>
      </c>
      <c r="L27" s="103"/>
      <c r="M27" s="103">
        <v>1</v>
      </c>
      <c r="N27" s="125"/>
      <c r="O27" s="125" t="s">
        <v>134</v>
      </c>
      <c r="P27" s="126">
        <v>200</v>
      </c>
      <c r="Q27" s="125">
        <v>0</v>
      </c>
      <c r="R27" s="106"/>
      <c r="S27" s="106">
        <v>200</v>
      </c>
      <c r="T27" s="127"/>
      <c r="U27" s="128">
        <v>200</v>
      </c>
      <c r="V27" s="133" t="s">
        <v>135</v>
      </c>
      <c r="W27" s="82"/>
      <c r="X27" s="83"/>
    </row>
    <row r="28" spans="1:24" ht="15">
      <c r="A28" s="122" t="s">
        <v>130</v>
      </c>
      <c r="B28" s="123"/>
      <c r="C28" s="123"/>
      <c r="D28" s="82"/>
      <c r="E28" s="83"/>
      <c r="F28" s="94"/>
      <c r="G28" s="124"/>
      <c r="H28" s="106"/>
      <c r="I28" s="106"/>
      <c r="J28" s="106"/>
      <c r="K28" s="103"/>
      <c r="L28" s="103"/>
      <c r="M28" s="103"/>
      <c r="N28" s="125"/>
      <c r="O28" s="125"/>
      <c r="P28" s="125"/>
      <c r="Q28" s="125"/>
      <c r="R28" s="106"/>
      <c r="S28" s="106"/>
      <c r="T28" s="127"/>
      <c r="U28" s="128"/>
      <c r="V28" s="129"/>
      <c r="W28" s="82"/>
      <c r="X28" s="83"/>
    </row>
    <row r="29" spans="1:24" ht="15">
      <c r="A29" s="122" t="s">
        <v>130</v>
      </c>
      <c r="B29" s="123"/>
      <c r="C29" s="123"/>
      <c r="D29" s="82"/>
      <c r="E29" s="83"/>
      <c r="F29" s="94"/>
      <c r="G29" s="124"/>
      <c r="H29" s="106"/>
      <c r="I29" s="106"/>
      <c r="J29" s="106"/>
      <c r="K29" s="103"/>
      <c r="L29" s="103"/>
      <c r="M29" s="125"/>
      <c r="N29" s="103"/>
      <c r="O29" s="125"/>
      <c r="P29" s="125"/>
      <c r="Q29" s="125"/>
      <c r="R29" s="106"/>
      <c r="S29" s="127"/>
      <c r="T29" s="106"/>
      <c r="U29" s="128"/>
      <c r="V29" s="130"/>
      <c r="W29" s="82"/>
      <c r="X29" s="83"/>
    </row>
    <row r="30" spans="1:24" ht="15">
      <c r="A30" s="122" t="s">
        <v>130</v>
      </c>
      <c r="B30" s="123"/>
      <c r="C30" s="123"/>
      <c r="D30" s="82"/>
      <c r="E30" s="83"/>
      <c r="F30" s="94"/>
      <c r="G30" s="124"/>
      <c r="H30" s="106"/>
      <c r="I30" s="106"/>
      <c r="J30" s="106"/>
      <c r="K30" s="103"/>
      <c r="L30" s="125"/>
      <c r="M30" s="103"/>
      <c r="N30" s="103"/>
      <c r="O30" s="125"/>
      <c r="P30" s="125"/>
      <c r="Q30" s="125"/>
      <c r="R30" s="127"/>
      <c r="S30" s="106"/>
      <c r="T30" s="106"/>
      <c r="U30" s="128"/>
      <c r="V30" s="130"/>
      <c r="W30" s="82"/>
      <c r="X30" s="83"/>
    </row>
    <row r="31" spans="1:24">
      <c r="A31" s="122"/>
      <c r="B31" s="123"/>
      <c r="C31" s="123"/>
      <c r="D31" s="82"/>
      <c r="E31" s="83"/>
      <c r="F31" s="106"/>
      <c r="G31" s="124"/>
      <c r="H31" s="106"/>
      <c r="I31" s="106"/>
      <c r="J31" s="106"/>
      <c r="K31" s="103"/>
      <c r="L31" s="103"/>
      <c r="M31" s="103"/>
      <c r="N31" s="103"/>
      <c r="O31" s="103"/>
      <c r="P31" s="103"/>
      <c r="Q31" s="103"/>
      <c r="R31" s="106"/>
      <c r="S31" s="106"/>
      <c r="T31" s="106"/>
      <c r="U31" s="106"/>
      <c r="V31" s="103"/>
      <c r="W31" s="82"/>
      <c r="X31" s="83"/>
    </row>
    <row r="32" spans="1:24">
      <c r="A32" s="122"/>
      <c r="B32" s="123"/>
      <c r="C32" s="123"/>
      <c r="D32" s="82"/>
      <c r="E32" s="83"/>
      <c r="F32" s="106"/>
      <c r="G32" s="124"/>
      <c r="H32" s="106"/>
      <c r="I32" s="106"/>
      <c r="J32" s="106"/>
      <c r="K32" s="103"/>
      <c r="L32" s="103"/>
      <c r="M32" s="103"/>
      <c r="N32" s="103"/>
      <c r="O32" s="103"/>
      <c r="P32" s="103"/>
      <c r="Q32" s="103"/>
      <c r="R32" s="106"/>
      <c r="S32" s="106"/>
      <c r="T32" s="106"/>
      <c r="U32" s="106"/>
      <c r="V32" s="103"/>
      <c r="W32" s="82"/>
      <c r="X32" s="83"/>
    </row>
    <row r="33" spans="1:24">
      <c r="A33" s="122"/>
      <c r="B33" s="123"/>
      <c r="C33" s="123"/>
      <c r="D33" s="82"/>
      <c r="E33" s="83"/>
      <c r="F33" s="106"/>
      <c r="G33" s="124"/>
      <c r="H33" s="106"/>
      <c r="I33" s="106"/>
      <c r="J33" s="106"/>
      <c r="K33" s="103"/>
      <c r="L33" s="103"/>
      <c r="M33" s="103"/>
      <c r="N33" s="103"/>
      <c r="O33" s="103"/>
      <c r="P33" s="103"/>
      <c r="Q33" s="103"/>
      <c r="R33" s="106"/>
      <c r="S33" s="106"/>
      <c r="T33" s="106"/>
      <c r="U33" s="106"/>
      <c r="V33" s="103"/>
      <c r="W33" s="82"/>
      <c r="X33" s="83"/>
    </row>
    <row r="34" spans="1:24">
      <c r="A34" s="122"/>
      <c r="B34" s="123"/>
      <c r="C34" s="123"/>
      <c r="D34" s="82"/>
      <c r="E34" s="83"/>
      <c r="F34" s="106"/>
      <c r="G34" s="124"/>
      <c r="H34" s="106"/>
      <c r="I34" s="106"/>
      <c r="J34" s="106"/>
      <c r="K34" s="103"/>
      <c r="L34" s="103"/>
      <c r="M34" s="103"/>
      <c r="N34" s="103"/>
      <c r="O34" s="103"/>
      <c r="P34" s="103"/>
      <c r="Q34" s="103"/>
      <c r="R34" s="106"/>
      <c r="S34" s="106"/>
      <c r="T34" s="106"/>
      <c r="U34" s="106"/>
      <c r="V34" s="103"/>
      <c r="W34" s="82"/>
      <c r="X34" s="83"/>
    </row>
    <row r="35" spans="1:24">
      <c r="A35" s="122"/>
      <c r="B35" s="123"/>
      <c r="C35" s="123"/>
      <c r="D35" s="82"/>
      <c r="E35" s="83"/>
      <c r="F35" s="106"/>
      <c r="G35" s="124"/>
      <c r="H35" s="106"/>
      <c r="I35" s="106"/>
      <c r="J35" s="106"/>
      <c r="K35" s="103"/>
      <c r="L35" s="103"/>
      <c r="M35" s="103"/>
      <c r="N35" s="103"/>
      <c r="O35" s="103"/>
      <c r="P35" s="103"/>
      <c r="Q35" s="103"/>
      <c r="R35" s="106"/>
      <c r="S35" s="106"/>
      <c r="T35" s="106"/>
      <c r="U35" s="106"/>
      <c r="V35" s="103"/>
      <c r="W35" s="82"/>
      <c r="X35" s="83"/>
    </row>
    <row r="36" spans="1:24">
      <c r="A36" s="122"/>
      <c r="B36" s="123"/>
      <c r="C36" s="123"/>
      <c r="D36" s="82"/>
      <c r="E36" s="83"/>
      <c r="F36" s="106"/>
      <c r="G36" s="124"/>
      <c r="H36" s="106"/>
      <c r="I36" s="106"/>
      <c r="J36" s="106"/>
      <c r="K36" s="103"/>
      <c r="L36" s="103"/>
      <c r="M36" s="103"/>
      <c r="N36" s="103"/>
      <c r="O36" s="103"/>
      <c r="P36" s="103"/>
      <c r="Q36" s="103"/>
      <c r="R36" s="106"/>
      <c r="S36" s="106"/>
      <c r="T36" s="106"/>
      <c r="U36" s="106"/>
      <c r="V36" s="103"/>
      <c r="W36" s="82"/>
      <c r="X36" s="83"/>
    </row>
    <row r="37" spans="1:24">
      <c r="A37" s="122"/>
      <c r="B37" s="123"/>
      <c r="C37" s="123"/>
      <c r="D37" s="82"/>
      <c r="E37" s="83"/>
      <c r="F37" s="106"/>
      <c r="G37" s="124"/>
      <c r="H37" s="106"/>
      <c r="I37" s="106"/>
      <c r="J37" s="106"/>
      <c r="K37" s="103"/>
      <c r="L37" s="103"/>
      <c r="M37" s="103"/>
      <c r="N37" s="103"/>
      <c r="O37" s="103"/>
      <c r="P37" s="103"/>
      <c r="Q37" s="103"/>
      <c r="R37" s="106"/>
      <c r="S37" s="106"/>
      <c r="T37" s="106"/>
      <c r="U37" s="106"/>
      <c r="V37" s="103"/>
      <c r="W37" s="82"/>
      <c r="X37" s="83"/>
    </row>
    <row r="38" spans="1:24">
      <c r="A38" s="122"/>
      <c r="B38" s="123"/>
      <c r="C38" s="123"/>
      <c r="D38" s="82"/>
      <c r="E38" s="83"/>
      <c r="F38" s="106"/>
      <c r="G38" s="124"/>
      <c r="H38" s="106"/>
      <c r="I38" s="106"/>
      <c r="J38" s="106"/>
      <c r="K38" s="103"/>
      <c r="L38" s="103"/>
      <c r="M38" s="103"/>
      <c r="N38" s="103"/>
      <c r="O38" s="103"/>
      <c r="P38" s="103"/>
      <c r="Q38" s="103"/>
      <c r="R38" s="106"/>
      <c r="S38" s="106"/>
      <c r="T38" s="106"/>
      <c r="U38" s="106"/>
      <c r="V38" s="103"/>
      <c r="W38" s="82"/>
      <c r="X38" s="83"/>
    </row>
    <row r="39" spans="1:24">
      <c r="A39" s="122"/>
      <c r="B39" s="123"/>
      <c r="C39" s="123"/>
      <c r="D39" s="82"/>
      <c r="E39" s="83"/>
      <c r="F39" s="106"/>
      <c r="G39" s="124"/>
      <c r="H39" s="106"/>
      <c r="I39" s="106"/>
      <c r="J39" s="106"/>
      <c r="K39" s="103"/>
      <c r="L39" s="103"/>
      <c r="M39" s="103"/>
      <c r="N39" s="103"/>
      <c r="O39" s="103"/>
      <c r="P39" s="103"/>
      <c r="Q39" s="103"/>
      <c r="R39" s="106"/>
      <c r="S39" s="106"/>
      <c r="T39" s="106"/>
      <c r="U39" s="106"/>
      <c r="V39" s="103"/>
      <c r="W39" s="82"/>
      <c r="X39" s="83"/>
    </row>
    <row r="40" spans="1:24">
      <c r="A40" s="122"/>
      <c r="B40" s="123"/>
      <c r="C40" s="123"/>
      <c r="D40" s="82"/>
      <c r="E40" s="83"/>
      <c r="F40" s="106"/>
      <c r="G40" s="124"/>
      <c r="H40" s="106"/>
      <c r="I40" s="106"/>
      <c r="J40" s="106"/>
      <c r="K40" s="103"/>
      <c r="L40" s="103"/>
      <c r="M40" s="103"/>
      <c r="N40" s="103"/>
      <c r="O40" s="103"/>
      <c r="P40" s="103"/>
      <c r="Q40" s="103"/>
      <c r="R40" s="106"/>
      <c r="S40" s="106"/>
      <c r="T40" s="106"/>
      <c r="U40" s="106"/>
      <c r="V40" s="103"/>
      <c r="W40" s="82"/>
      <c r="X40" s="83"/>
    </row>
    <row r="41" spans="1:24">
      <c r="A41" s="122"/>
      <c r="B41" s="123"/>
      <c r="C41" s="123"/>
      <c r="D41" s="82"/>
      <c r="E41" s="83"/>
      <c r="F41" s="106"/>
      <c r="G41" s="124"/>
      <c r="H41" s="106"/>
      <c r="I41" s="106"/>
      <c r="J41" s="106"/>
      <c r="K41" s="103"/>
      <c r="L41" s="103"/>
      <c r="M41" s="103"/>
      <c r="N41" s="103"/>
      <c r="O41" s="103"/>
      <c r="P41" s="103"/>
      <c r="Q41" s="103"/>
      <c r="R41" s="106"/>
      <c r="S41" s="106"/>
      <c r="T41" s="106"/>
      <c r="U41" s="106"/>
      <c r="V41" s="103"/>
      <c r="W41" s="82"/>
      <c r="X41" s="83"/>
    </row>
    <row r="42" spans="1:24">
      <c r="A42" s="122"/>
      <c r="B42" s="123"/>
      <c r="C42" s="123"/>
      <c r="D42" s="82"/>
      <c r="E42" s="83"/>
      <c r="F42" s="106"/>
      <c r="G42" s="124"/>
      <c r="H42" s="106"/>
      <c r="I42" s="106"/>
      <c r="J42" s="106"/>
      <c r="K42" s="103"/>
      <c r="L42" s="103"/>
      <c r="M42" s="103"/>
      <c r="N42" s="103"/>
      <c r="O42" s="103"/>
      <c r="P42" s="103"/>
      <c r="Q42" s="103"/>
      <c r="R42" s="106"/>
      <c r="S42" s="106"/>
      <c r="T42" s="106"/>
      <c r="U42" s="106"/>
      <c r="V42" s="103"/>
      <c r="W42" s="82"/>
      <c r="X42" s="83"/>
    </row>
    <row r="43" spans="1:24">
      <c r="A43" s="122"/>
      <c r="B43" s="123"/>
      <c r="C43" s="123"/>
      <c r="D43" s="82"/>
      <c r="E43" s="83"/>
      <c r="F43" s="106"/>
      <c r="G43" s="124"/>
      <c r="H43" s="106"/>
      <c r="I43" s="106"/>
      <c r="J43" s="106"/>
      <c r="K43" s="103"/>
      <c r="L43" s="103"/>
      <c r="M43" s="103"/>
      <c r="N43" s="103"/>
      <c r="O43" s="103"/>
      <c r="P43" s="103"/>
      <c r="Q43" s="103"/>
      <c r="R43" s="106"/>
      <c r="S43" s="106"/>
      <c r="T43" s="106"/>
      <c r="U43" s="106"/>
      <c r="V43" s="103"/>
      <c r="W43" s="82"/>
      <c r="X43" s="83"/>
    </row>
    <row r="44" spans="1:24">
      <c r="A44" s="122"/>
      <c r="B44" s="123"/>
      <c r="C44" s="123"/>
      <c r="D44" s="82"/>
      <c r="E44" s="83"/>
      <c r="F44" s="106"/>
      <c r="G44" s="124"/>
      <c r="H44" s="106"/>
      <c r="I44" s="106"/>
      <c r="J44" s="106"/>
      <c r="K44" s="103"/>
      <c r="L44" s="103"/>
      <c r="M44" s="103"/>
      <c r="N44" s="103"/>
      <c r="O44" s="103"/>
      <c r="P44" s="103"/>
      <c r="Q44" s="103"/>
      <c r="R44" s="106"/>
      <c r="S44" s="106"/>
      <c r="T44" s="106"/>
      <c r="U44" s="106"/>
      <c r="V44" s="103"/>
      <c r="W44" s="82"/>
      <c r="X44" s="83"/>
    </row>
    <row r="45" spans="1:24">
      <c r="A45" s="122"/>
      <c r="B45" s="123"/>
      <c r="C45" s="123"/>
      <c r="D45" s="82"/>
      <c r="E45" s="83"/>
      <c r="F45" s="106"/>
      <c r="G45" s="124"/>
      <c r="H45" s="106"/>
      <c r="I45" s="106"/>
      <c r="J45" s="106"/>
      <c r="K45" s="103"/>
      <c r="L45" s="103"/>
      <c r="M45" s="103"/>
      <c r="N45" s="103"/>
      <c r="O45" s="103"/>
      <c r="P45" s="103"/>
      <c r="Q45" s="103"/>
      <c r="R45" s="106"/>
      <c r="S45" s="106"/>
      <c r="T45" s="106"/>
      <c r="U45" s="106"/>
      <c r="V45" s="103"/>
      <c r="W45" s="82"/>
      <c r="X45" s="83"/>
    </row>
    <row r="46" spans="1:24">
      <c r="A46" s="122"/>
      <c r="B46" s="123"/>
      <c r="C46" s="123"/>
      <c r="D46" s="82"/>
      <c r="E46" s="83"/>
      <c r="F46" s="106"/>
      <c r="G46" s="124"/>
      <c r="H46" s="106"/>
      <c r="I46" s="106"/>
      <c r="J46" s="106"/>
      <c r="K46" s="103"/>
      <c r="L46" s="103"/>
      <c r="M46" s="103"/>
      <c r="N46" s="103"/>
      <c r="O46" s="103"/>
      <c r="P46" s="103"/>
      <c r="Q46" s="103"/>
      <c r="R46" s="106"/>
      <c r="S46" s="106"/>
      <c r="T46" s="106"/>
      <c r="U46" s="106"/>
      <c r="V46" s="103"/>
      <c r="W46" s="82"/>
      <c r="X46" s="83"/>
    </row>
    <row r="47" spans="1:24">
      <c r="A47" s="122"/>
      <c r="B47" s="123"/>
      <c r="C47" s="123"/>
      <c r="D47" s="82"/>
      <c r="E47" s="83"/>
      <c r="F47" s="106"/>
      <c r="G47" s="124"/>
      <c r="H47" s="106"/>
      <c r="I47" s="106"/>
      <c r="J47" s="106"/>
      <c r="K47" s="103"/>
      <c r="L47" s="103"/>
      <c r="M47" s="103"/>
      <c r="N47" s="103"/>
      <c r="O47" s="103"/>
      <c r="P47" s="103"/>
      <c r="Q47" s="103"/>
      <c r="R47" s="106"/>
      <c r="S47" s="106"/>
      <c r="T47" s="106"/>
      <c r="U47" s="106"/>
      <c r="V47" s="103"/>
      <c r="W47" s="82"/>
      <c r="X47" s="83"/>
    </row>
    <row r="48" spans="1:24">
      <c r="A48" s="122"/>
      <c r="B48" s="123"/>
      <c r="C48" s="123"/>
      <c r="D48" s="82"/>
      <c r="E48" s="83"/>
      <c r="F48" s="106"/>
      <c r="G48" s="124"/>
      <c r="H48" s="106"/>
      <c r="I48" s="106"/>
      <c r="J48" s="106"/>
      <c r="K48" s="103"/>
      <c r="L48" s="103"/>
      <c r="M48" s="103"/>
      <c r="N48" s="103"/>
      <c r="O48" s="103"/>
      <c r="P48" s="103"/>
      <c r="Q48" s="103"/>
      <c r="R48" s="106"/>
      <c r="S48" s="106"/>
      <c r="T48" s="106"/>
      <c r="U48" s="106"/>
      <c r="V48" s="103"/>
      <c r="W48" s="82"/>
      <c r="X48" s="83"/>
    </row>
    <row r="49" spans="1:24">
      <c r="A49" s="122"/>
      <c r="B49" s="123"/>
      <c r="C49" s="123"/>
      <c r="D49" s="82"/>
      <c r="E49" s="83"/>
      <c r="F49" s="106"/>
      <c r="G49" s="124"/>
      <c r="H49" s="106"/>
      <c r="I49" s="106"/>
      <c r="J49" s="106"/>
      <c r="K49" s="103"/>
      <c r="L49" s="103"/>
      <c r="M49" s="103"/>
      <c r="N49" s="103"/>
      <c r="O49" s="103"/>
      <c r="P49" s="103"/>
      <c r="Q49" s="103"/>
      <c r="R49" s="106"/>
      <c r="S49" s="106"/>
      <c r="T49" s="106"/>
      <c r="U49" s="106"/>
      <c r="V49" s="103"/>
      <c r="W49" s="82"/>
      <c r="X49" s="83"/>
    </row>
    <row r="50" spans="1:24">
      <c r="A50" s="122"/>
      <c r="B50" s="123"/>
      <c r="C50" s="123"/>
      <c r="D50" s="82"/>
      <c r="E50" s="83"/>
      <c r="F50" s="106"/>
      <c r="G50" s="124"/>
      <c r="H50" s="106"/>
      <c r="I50" s="106"/>
      <c r="J50" s="106"/>
      <c r="K50" s="103"/>
      <c r="L50" s="103"/>
      <c r="M50" s="103"/>
      <c r="N50" s="103"/>
      <c r="O50" s="103"/>
      <c r="P50" s="103"/>
      <c r="Q50" s="103"/>
      <c r="R50" s="106"/>
      <c r="S50" s="106"/>
      <c r="T50" s="106"/>
      <c r="U50" s="106"/>
      <c r="V50" s="103"/>
      <c r="W50" s="82"/>
      <c r="X50" s="83"/>
    </row>
    <row r="51" spans="1:24">
      <c r="A51" s="84"/>
      <c r="B51" s="82"/>
      <c r="C51" s="82"/>
      <c r="D51" s="82"/>
      <c r="E51" s="82"/>
      <c r="F51" s="106"/>
      <c r="G51" s="124"/>
      <c r="H51" s="106"/>
      <c r="I51" s="106"/>
      <c r="J51" s="106"/>
      <c r="K51" s="103"/>
      <c r="L51" s="103"/>
      <c r="M51" s="103"/>
      <c r="N51" s="103"/>
      <c r="O51" s="103"/>
      <c r="P51" s="103"/>
      <c r="Q51" s="103"/>
      <c r="R51" s="106"/>
      <c r="S51" s="106"/>
      <c r="T51" s="106"/>
      <c r="U51" s="106"/>
      <c r="V51" s="103"/>
      <c r="W51" s="82"/>
      <c r="X51" s="83"/>
    </row>
    <row r="52" spans="1:24">
      <c r="A52" s="84"/>
      <c r="B52" s="82"/>
      <c r="C52" s="82"/>
      <c r="D52" s="82"/>
      <c r="E52" s="82"/>
      <c r="F52" s="106"/>
      <c r="G52" s="124"/>
      <c r="H52" s="106"/>
      <c r="I52" s="106"/>
      <c r="J52" s="106"/>
      <c r="K52" s="103"/>
      <c r="L52" s="103"/>
      <c r="M52" s="103"/>
      <c r="N52" s="103"/>
      <c r="O52" s="103"/>
      <c r="P52" s="103"/>
      <c r="Q52" s="103"/>
      <c r="R52" s="106"/>
      <c r="S52" s="106"/>
      <c r="T52" s="106"/>
      <c r="U52" s="106"/>
      <c r="V52" s="103"/>
      <c r="W52" s="82"/>
      <c r="X52" s="83"/>
    </row>
    <row r="53" spans="1:24">
      <c r="A53" s="84"/>
      <c r="B53" s="82"/>
      <c r="C53" s="82"/>
      <c r="D53" s="82"/>
      <c r="E53" s="82"/>
      <c r="F53" s="106"/>
      <c r="G53" s="124"/>
      <c r="H53" s="106"/>
      <c r="I53" s="106"/>
      <c r="J53" s="106"/>
      <c r="K53" s="103"/>
      <c r="L53" s="103"/>
      <c r="M53" s="103"/>
      <c r="N53" s="103"/>
      <c r="O53" s="103"/>
      <c r="P53" s="103"/>
      <c r="Q53" s="103"/>
      <c r="R53" s="106"/>
      <c r="S53" s="106"/>
      <c r="T53" s="106"/>
      <c r="U53" s="106"/>
      <c r="V53" s="103"/>
      <c r="W53" s="82"/>
      <c r="X53" s="83"/>
    </row>
    <row r="54" spans="1:24">
      <c r="A54" s="84"/>
      <c r="B54" s="82"/>
      <c r="C54" s="82"/>
      <c r="D54" s="82"/>
      <c r="E54" s="82"/>
      <c r="F54" s="106"/>
      <c r="G54" s="124"/>
      <c r="H54" s="106"/>
      <c r="I54" s="106"/>
      <c r="J54" s="106"/>
      <c r="K54" s="103"/>
      <c r="L54" s="103"/>
      <c r="M54" s="103"/>
      <c r="N54" s="103"/>
      <c r="O54" s="103"/>
      <c r="P54" s="103"/>
      <c r="Q54" s="103"/>
      <c r="R54" s="106">
        <v>0</v>
      </c>
      <c r="S54" s="106"/>
      <c r="T54" s="106"/>
      <c r="U54" s="106"/>
      <c r="V54" s="103"/>
      <c r="W54" s="82"/>
      <c r="X54" s="83"/>
    </row>
    <row r="55" spans="1:24">
      <c r="A55" s="84"/>
      <c r="B55" s="82"/>
      <c r="C55" s="82"/>
      <c r="D55" s="82"/>
      <c r="E55" s="82"/>
      <c r="F55" s="82"/>
      <c r="G55" s="82"/>
      <c r="H55" s="82"/>
      <c r="I55" s="82"/>
      <c r="J55" s="82"/>
      <c r="K55" s="82"/>
      <c r="L55" s="82"/>
      <c r="M55" s="82"/>
      <c r="N55" s="82"/>
      <c r="O55" s="82"/>
      <c r="P55" s="82"/>
      <c r="Q55" s="82"/>
      <c r="R55" s="82"/>
      <c r="S55" s="82"/>
      <c r="T55" s="82"/>
      <c r="U55" s="83"/>
      <c r="V55" s="103"/>
      <c r="W55" s="82"/>
      <c r="X55" s="83"/>
    </row>
    <row r="56" spans="1:24">
      <c r="A56" s="84"/>
      <c r="B56" s="82"/>
      <c r="C56" s="82"/>
      <c r="D56" s="82"/>
      <c r="E56" s="82"/>
      <c r="F56" s="82"/>
      <c r="G56" s="82"/>
      <c r="H56" s="82"/>
      <c r="I56" s="82"/>
      <c r="J56" s="82"/>
      <c r="K56" s="82"/>
      <c r="L56" s="82"/>
      <c r="M56" s="82"/>
      <c r="N56" s="82"/>
      <c r="O56" s="82"/>
      <c r="P56" s="82"/>
      <c r="Q56" s="82"/>
      <c r="R56" s="82"/>
      <c r="S56" s="82"/>
      <c r="T56" s="82"/>
      <c r="U56" s="83"/>
      <c r="V56" s="103"/>
      <c r="W56" s="82"/>
      <c r="X56" s="83"/>
    </row>
    <row r="57" spans="1:24">
      <c r="A57" s="84"/>
      <c r="B57" s="82"/>
      <c r="C57" s="82"/>
      <c r="D57" s="82"/>
      <c r="E57" s="82"/>
      <c r="F57" s="82"/>
      <c r="G57" s="82"/>
      <c r="H57" s="82"/>
      <c r="I57" s="82"/>
      <c r="J57" s="82"/>
      <c r="K57" s="82"/>
      <c r="L57" s="82"/>
      <c r="M57" s="82"/>
      <c r="N57" s="82"/>
      <c r="O57" s="82"/>
      <c r="P57" s="82"/>
      <c r="Q57" s="82"/>
      <c r="R57" s="82"/>
      <c r="S57" s="82"/>
      <c r="T57" s="82"/>
      <c r="U57" s="83"/>
      <c r="V57" s="103"/>
      <c r="W57" s="82"/>
      <c r="X57" s="83"/>
    </row>
    <row r="58" spans="1:24" ht="23.25">
      <c r="A58" s="89" t="s">
        <v>136</v>
      </c>
      <c r="B58" s="82"/>
      <c r="C58" s="82"/>
      <c r="D58" s="82"/>
      <c r="E58" s="82"/>
      <c r="F58" s="82"/>
      <c r="G58" s="82"/>
      <c r="H58" s="82"/>
      <c r="I58" s="82"/>
      <c r="J58" s="82"/>
      <c r="K58" s="82"/>
      <c r="L58" s="82"/>
      <c r="M58" s="82"/>
      <c r="N58" s="82"/>
      <c r="O58" s="82"/>
      <c r="P58" s="82"/>
      <c r="Q58" s="82"/>
      <c r="R58" s="82"/>
      <c r="S58" s="82"/>
      <c r="T58" s="82"/>
      <c r="U58" s="83"/>
      <c r="V58" s="103"/>
      <c r="W58" s="82"/>
      <c r="X58" s="83"/>
    </row>
    <row r="59" spans="1:24">
      <c r="A59" s="84" t="s">
        <v>137</v>
      </c>
      <c r="B59" s="82" t="s">
        <v>138</v>
      </c>
      <c r="C59" s="82" t="s">
        <v>139</v>
      </c>
      <c r="D59" s="82" t="s">
        <v>140</v>
      </c>
      <c r="E59" s="82"/>
      <c r="F59" s="82"/>
      <c r="G59" s="82"/>
      <c r="H59" s="82"/>
      <c r="I59" s="82"/>
      <c r="J59" s="82"/>
      <c r="K59" s="82"/>
      <c r="L59" s="82"/>
      <c r="M59" s="82"/>
      <c r="N59" s="82"/>
      <c r="O59" s="82"/>
      <c r="P59" s="82"/>
      <c r="Q59" s="82"/>
      <c r="R59" s="82"/>
      <c r="S59" s="82"/>
      <c r="T59" s="82"/>
      <c r="U59" s="83"/>
      <c r="V59" s="103"/>
      <c r="W59" s="82"/>
      <c r="X59" s="83"/>
    </row>
    <row r="60" spans="1:24">
      <c r="A60" s="90"/>
      <c r="B60" s="91"/>
      <c r="C60" s="91"/>
      <c r="D60" s="91"/>
      <c r="E60" s="91"/>
      <c r="F60" s="91"/>
      <c r="G60" s="91"/>
      <c r="H60" s="91"/>
      <c r="I60" s="91"/>
      <c r="J60" s="91"/>
      <c r="K60" s="91"/>
      <c r="L60" s="91"/>
      <c r="M60" s="91"/>
      <c r="N60" s="91"/>
      <c r="O60" s="91"/>
      <c r="P60" s="91"/>
      <c r="Q60" s="91"/>
      <c r="R60" s="91"/>
      <c r="S60" s="91"/>
      <c r="T60" s="91"/>
      <c r="U60" s="106"/>
      <c r="V60" s="103"/>
      <c r="W60" s="91"/>
      <c r="X60" s="106"/>
    </row>
  </sheetData>
  <mergeCells count="38">
    <mergeCell ref="P10:Q10"/>
    <mergeCell ref="F1:V1"/>
    <mergeCell ref="F2:V2"/>
    <mergeCell ref="B4:D4"/>
    <mergeCell ref="F4:R4"/>
    <mergeCell ref="B5:D5"/>
    <mergeCell ref="F5:Q5"/>
    <mergeCell ref="A2:B2"/>
    <mergeCell ref="B6:D6"/>
    <mergeCell ref="F6:Q6"/>
    <mergeCell ref="F7:R7"/>
    <mergeCell ref="P8:Q8"/>
    <mergeCell ref="P9:Q9"/>
    <mergeCell ref="K20:U20"/>
    <mergeCell ref="P11:Q11"/>
    <mergeCell ref="V11:V15"/>
    <mergeCell ref="B12:C12"/>
    <mergeCell ref="P12:Q12"/>
    <mergeCell ref="B13:C13"/>
    <mergeCell ref="P13:Q13"/>
    <mergeCell ref="B14:C14"/>
    <mergeCell ref="P14:Q14"/>
    <mergeCell ref="B15:C15"/>
    <mergeCell ref="P15:Q15"/>
    <mergeCell ref="B16:C16"/>
    <mergeCell ref="B17:C17"/>
    <mergeCell ref="B18:C18"/>
    <mergeCell ref="B19:C19"/>
    <mergeCell ref="B20:C20"/>
    <mergeCell ref="L25:N25"/>
    <mergeCell ref="C21:D21"/>
    <mergeCell ref="K21:N21"/>
    <mergeCell ref="O21:R21"/>
    <mergeCell ref="S21:U21"/>
    <mergeCell ref="K22:N22"/>
    <mergeCell ref="O22:R22"/>
    <mergeCell ref="S22:U22"/>
    <mergeCell ref="O25:P25"/>
  </mergeCells>
  <hyperlinks>
    <hyperlink ref="I13" r:id="rId1" xr:uid="{438E3546-1367-4E9C-B05C-0740B000D41B}"/>
    <hyperlink ref="I14" r:id="rId2" location="gid=2145016025" xr:uid="{5904967B-432F-4C64-B628-79EE3B230442}"/>
    <hyperlink ref="I16" r:id="rId3" xr:uid="{C25B9AD6-5447-4405-88ED-0B85740FB930}"/>
    <hyperlink ref="I17" r:id="rId4" xr:uid="{3AE3A5C9-0F60-4CCE-B756-3CC3A10952EA}"/>
    <hyperlink ref="I18" r:id="rId5" xr:uid="{95DC220C-FF39-4FEC-83A0-A70DBBAFE94D}"/>
    <hyperlink ref="B14:C14" r:id="rId6" display="kabdallah2022@fau.edu" xr:uid="{2AA53E4D-10F2-4B5B-A16C-CAFEDC33D6BB}"/>
    <hyperlink ref="B15:C15" r:id="rId7" display="gfusaro2022@fau.edu" xr:uid="{E3067CB3-24AD-45D2-A559-CDC9968C412B}"/>
    <hyperlink ref="B17:C17" r:id="rId8" display="wsi2023@fau.edu" xr:uid="{26E16094-3965-4765-9A29-A898BDECF5A6}"/>
    <hyperlink ref="B18:C18" r:id="rId9" display="lvan2019@fau.edu" xr:uid="{F1621E67-090C-4C16-9BF5-F7C131A5AD61}"/>
    <hyperlink ref="B16:C16" r:id="rId10" display="bgatto2024@fau.edu" xr:uid="{6B6C0E56-9CA8-47BA-8610-34B027358CC0}"/>
    <hyperlink ref="O9" r:id="rId11" xr:uid="{4C19336A-EBAB-4005-B21C-F8BBD357BE39}"/>
    <hyperlink ref="V27" r:id="rId12" xr:uid="{B8BEB8A8-9910-491B-A2F0-71EA30186FA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2026-05-06T20:39:27Z</dcterms:created>
  <dcterms:modified xsi:type="dcterms:W3CDTF">2026-05-07T01:44:10Z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